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Fluxo de Caixa" sheetId="2" state="visible" r:id="rId4"/>
    <sheet name="Necessidade de Caixa e Payback" sheetId="3" state="visible" r:id="rId5"/>
    <sheet name="VPL e TI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<sst xmlns="http://schemas.openxmlformats.org/spreadsheetml/2006/main" count="87" uniqueCount="79">
  <si>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</si>
  <si>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</si>
  <si>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</si>
  <si>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</si>
  <si>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</si>
  <si>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</si>
  <si>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</si>
  <si>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</si>
  <si>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</si>
  <si>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</si>
  <si>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</si>
  <si>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</si>
  <si>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</si>
  <si>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</si>
  <si>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</si>
  <si>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</si>
  <si>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</si>
  <si>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</si>
  <si>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</si>
  <si>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</si>
  <si>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</si>
  <si>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</si>
  <si>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</si>
  <si>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</si>
  <si>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</si>
  <si>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</si>
  <si>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</si>
  <si>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</si>
  <si>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</si>
  <si>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</si>
  <si>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</si>
  <si>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Vendas Brutas (R$)</t>
  </si>
  <si>
    <t xml:space="preserve">Despesas Variáveis (R$)</t>
  </si>
  <si>
    <t xml:space="preserve">Despesas Fixas (R$)</t>
  </si>
  <si>
    <t xml:space="preserve">Resultado Operacional (R$)</t>
  </si>
  <si>
    <t xml:space="preserve">Investimentos (R$)</t>
  </si>
  <si>
    <t xml:space="preserve">Fluxo de Caixa Líquido (R$)</t>
  </si>
  <si>
    <t xml:space="preserve">TOTAL</t>
  </si>
  <si>
    <t xml:space="preserve">Valores atuais são EXEMPLO (investimento de R$ 50.000 e lucro operacional de R$ 4.000/mês). Substitua pelos dados do seu projeto.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</si>
  <si>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</si>
  <si>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</si>
  <si>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</si>
  <si>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</si>
  <si>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</si>
  <si>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</si>
  <si>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</si>
  <si>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</si>
  <si>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</si>
  <si>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</si>
  <si>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</si>
  <si>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</si>
  <si>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</si>
  <si>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Digite com o símbolo %: 15% (ou 0,15) para 15% ao ano. Exemplo usado: 15% a.a. (troque pela taxa do grupo).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</si>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</sst>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&quot;R$ &quot;#,##0.00;[RED]&quot;-R$ &quot;#,##0.00;\-"/>
    <numFmt numFmtId="167" formatCode="@"/>
    <numFmt numFmtId="168" formatCode="0.00%"/>
    <numFmt numFmtId="169" formatCode="0.000%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6" t="s">
        <v>28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29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true" outlineLevel="0" collapsed="false">
      <c r="A5" s="10" t="n">
        <v>0</v>
      </c>
      <c r="B5" s="11" t="n">
        <v>0</v>
      </c>
      <c r="C5" s="11" t="n">
        <v>0</v>
      </c>
      <c r="D5" s="11" t="n">
        <v>0</v>
      </c>
      <c r="E5" s="12" t="n">
        <f aca="false">B5-C5-D5</f>
        <v>0</v>
      </c>
      <c r="F5" s="11" t="n">
        <v>102000</v>
      </c>
      <c r="G5" s="13" t="n">
        <f aca="false">E5-F5</f>
        <v>-102000</v>
      </c>
    </row>
    <row r="6" customFormat="false" ht="15" hidden="false" customHeight="true" outlineLevel="0" collapsed="false">
      <c r="A6" s="10" t="n">
        <v>1</v>
      </c>
      <c r="B6" s="11" t="n">
        <v>5988</v>
      </c>
      <c r="C6" s="11" t="n">
        <v>1479.9</v>
      </c>
      <c r="D6" s="11" t="n">
        <v>12000</v>
      </c>
      <c r="E6" s="12" t="n">
        <f aca="false">B6-C6-D6</f>
        <v>-7491.9</v>
      </c>
      <c r="F6" s="11" t="n">
        <v>0</v>
      </c>
      <c r="G6" s="13" t="n">
        <f aca="false">E6-F6</f>
        <v>-7491.9</v>
      </c>
    </row>
    <row r="7" customFormat="false" ht="15" hidden="false" customHeight="true" outlineLevel="0" collapsed="false">
      <c r="A7" s="10" t="n">
        <v>2</v>
      </c>
      <c r="B7" s="11" t="n">
        <v>8982</v>
      </c>
      <c r="C7" s="11" t="n">
        <v>2219.85</v>
      </c>
      <c r="D7" s="11" t="n">
        <v>12000</v>
      </c>
      <c r="E7" s="12" t="n">
        <f aca="false">B7-C7-D7</f>
        <v>-5237.85</v>
      </c>
      <c r="F7" s="11" t="n">
        <v>0</v>
      </c>
      <c r="G7" s="13" t="n">
        <f aca="false">E7-F7</f>
        <v>-5237.85</v>
      </c>
    </row>
    <row r="8" customFormat="false" ht="15" hidden="false" customHeight="true" outlineLevel="0" collapsed="false">
      <c r="A8" s="10" t="n">
        <v>3</v>
      </c>
      <c r="B8" s="11" t="n">
        <v>13473</v>
      </c>
      <c r="C8" s="11" t="n">
        <v>3329.78</v>
      </c>
      <c r="D8" s="11" t="n">
        <v>12000</v>
      </c>
      <c r="E8" s="12" t="n">
        <f aca="false">B8-C8-D8</f>
        <v>-1856.78</v>
      </c>
      <c r="F8" s="11" t="n">
        <v>0</v>
      </c>
      <c r="G8" s="13" t="n">
        <f aca="false">E8-F8</f>
        <v>-1856.78</v>
      </c>
    </row>
    <row r="9" customFormat="false" ht="15" hidden="false" customHeight="true" outlineLevel="0" collapsed="false">
      <c r="A9" s="10" t="n">
        <v>4</v>
      </c>
      <c r="B9" s="11" t="n">
        <v>24967</v>
      </c>
      <c r="C9" s="11" t="n">
        <v>10156.02</v>
      </c>
      <c r="D9" s="11" t="n">
        <v>18116.92</v>
      </c>
      <c r="E9" s="12" t="n">
        <f aca="false">B9-C9-D9</f>
        <v>-3305.94</v>
      </c>
      <c r="F9" s="11" t="n">
        <v>0</v>
      </c>
      <c r="G9" s="13" t="n">
        <f aca="false">E9-F9</f>
        <v>-3305.94</v>
      </c>
    </row>
    <row r="10" customFormat="false" ht="15" hidden="false" customHeight="true" outlineLevel="0" collapsed="false">
      <c r="A10" s="10" t="n">
        <v>5</v>
      </c>
      <c r="B10" s="11" t="n">
        <v>29458</v>
      </c>
      <c r="C10" s="11" t="n">
        <v>11265.95</v>
      </c>
      <c r="D10" s="11" t="n">
        <v>19217.21</v>
      </c>
      <c r="E10" s="12" t="n">
        <f aca="false">B10-C10-D10</f>
        <v>-1025.16</v>
      </c>
      <c r="F10" s="11" t="n">
        <v>0</v>
      </c>
      <c r="G10" s="13" t="n">
        <f aca="false">E10-F10</f>
        <v>-1025.16</v>
      </c>
    </row>
    <row r="11" customFormat="false" ht="15" hidden="false" customHeight="true" outlineLevel="0" collapsed="false">
      <c r="A11" s="10" t="n">
        <v>6</v>
      </c>
      <c r="B11" s="11" t="n">
        <v>35954.5</v>
      </c>
      <c r="C11" s="11" t="n">
        <v>14903.98</v>
      </c>
      <c r="D11" s="11" t="n">
        <v>20808.85</v>
      </c>
      <c r="E11" s="12" t="n">
        <f aca="false">B11-C11-D11</f>
        <v>241.670000000002</v>
      </c>
      <c r="F11" s="11" t="n">
        <v>0</v>
      </c>
      <c r="G11" s="13" t="n">
        <f aca="false">E11-F11</f>
        <v>241.670000000002</v>
      </c>
    </row>
    <row r="12" customFormat="false" ht="15" hidden="false" customHeight="true" outlineLevel="0" collapsed="false">
      <c r="A12" s="10" t="n">
        <v>7</v>
      </c>
      <c r="B12" s="11" t="n">
        <v>40445.5</v>
      </c>
      <c r="C12" s="11" t="n">
        <v>16173.83</v>
      </c>
      <c r="D12" s="11" t="n">
        <v>21909.15</v>
      </c>
      <c r="E12" s="12" t="n">
        <f aca="false">B12-C12-D12</f>
        <v>2362.52</v>
      </c>
      <c r="F12" s="11" t="n">
        <v>0</v>
      </c>
      <c r="G12" s="13" t="n">
        <f aca="false">E12-F12</f>
        <v>2362.52</v>
      </c>
    </row>
    <row r="13" customFormat="false" ht="15" hidden="false" customHeight="true" outlineLevel="0" collapsed="false">
      <c r="A13" s="10" t="n">
        <v>8</v>
      </c>
      <c r="B13" s="11" t="n">
        <v>46942</v>
      </c>
      <c r="C13" s="11" t="n">
        <v>19881.12</v>
      </c>
      <c r="D13" s="11" t="n">
        <v>23500.79</v>
      </c>
      <c r="E13" s="12" t="n">
        <f aca="false">B13-C13-D13</f>
        <v>3560.09</v>
      </c>
      <c r="F13" s="11" t="n">
        <v>0</v>
      </c>
      <c r="G13" s="13" t="n">
        <f aca="false">E13-F13</f>
        <v>3560.09</v>
      </c>
    </row>
    <row r="14" customFormat="false" ht="15" hidden="false" customHeight="true" outlineLevel="0" collapsed="false">
      <c r="A14" s="10" t="n">
        <v>9</v>
      </c>
      <c r="B14" s="11" t="n">
        <v>61430</v>
      </c>
      <c r="C14" s="11" t="n">
        <v>27581.5</v>
      </c>
      <c r="D14" s="11" t="n">
        <v>27050.35</v>
      </c>
      <c r="E14" s="12" t="n">
        <f aca="false">B14-C14-D14</f>
        <v>6798.15</v>
      </c>
      <c r="F14" s="11" t="n">
        <v>0</v>
      </c>
      <c r="G14" s="13" t="n">
        <f aca="false">E14-F14</f>
        <v>6798.15</v>
      </c>
    </row>
    <row r="15" customFormat="false" ht="15" hidden="false" customHeight="true" outlineLevel="0" collapsed="false">
      <c r="A15" s="10" t="n">
        <v>10</v>
      </c>
      <c r="B15" s="11" t="n">
        <v>59426.5</v>
      </c>
      <c r="C15" s="11" t="n">
        <v>25142.12</v>
      </c>
      <c r="D15" s="11" t="n">
        <v>26559.49</v>
      </c>
      <c r="E15" s="12" t="n">
        <f aca="false">B15-C15-D15</f>
        <v>7724.89</v>
      </c>
      <c r="F15" s="11" t="n">
        <v>0</v>
      </c>
      <c r="G15" s="13" t="n">
        <f aca="false">E15-F15</f>
        <v>7724.89</v>
      </c>
    </row>
    <row r="16" customFormat="false" ht="15" hidden="false" customHeight="true" outlineLevel="0" collapsed="false">
      <c r="A16" s="10" t="n">
        <v>11</v>
      </c>
      <c r="B16" s="11" t="n">
        <v>73914.5</v>
      </c>
      <c r="C16" s="11" t="n">
        <v>32956.18</v>
      </c>
      <c r="D16" s="11" t="n">
        <v>30109.05</v>
      </c>
      <c r="E16" s="12" t="n">
        <f aca="false">B16-C16-D16</f>
        <v>10849.27</v>
      </c>
      <c r="F16" s="11" t="n">
        <v>0</v>
      </c>
      <c r="G16" s="13" t="n">
        <f aca="false">E16-F16</f>
        <v>10849.27</v>
      </c>
    </row>
    <row r="17" customFormat="false" ht="15" hidden="false" customHeight="true" outlineLevel="0" collapsed="false">
      <c r="A17" s="10" t="n">
        <v>12</v>
      </c>
      <c r="B17" s="11" t="n">
        <v>66911.5</v>
      </c>
      <c r="C17" s="11" t="n">
        <v>27417.83</v>
      </c>
      <c r="D17" s="11" t="n">
        <v>28393.32</v>
      </c>
      <c r="E17" s="12" t="n">
        <f aca="false">B17-C17-D17</f>
        <v>11100.35</v>
      </c>
      <c r="F17" s="11" t="n">
        <v>0</v>
      </c>
      <c r="G17" s="13" t="n">
        <f aca="false">E17-F17</f>
        <v>11100.35</v>
      </c>
    </row>
    <row r="18" customFormat="false" ht="15" hidden="false" customHeight="true" outlineLevel="0" collapsed="false">
      <c r="A18" s="10" t="n">
        <v>13</v>
      </c>
      <c r="B18" s="11" t="n">
        <v>104896</v>
      </c>
      <c r="C18" s="11" t="n">
        <v>51415.58</v>
      </c>
      <c r="D18" s="11" t="n">
        <v>37699.52</v>
      </c>
      <c r="E18" s="12" t="n">
        <f aca="false">B18-C18-D18</f>
        <v>15780.9</v>
      </c>
      <c r="F18" s="11" t="n">
        <v>0</v>
      </c>
      <c r="G18" s="13" t="n">
        <f aca="false">E18-F18</f>
        <v>15780.9</v>
      </c>
    </row>
    <row r="19" customFormat="false" ht="15" hidden="false" customHeight="true" outlineLevel="0" collapsed="false">
      <c r="A19" s="10" t="n">
        <v>14</v>
      </c>
      <c r="B19" s="11" t="n">
        <v>109387</v>
      </c>
      <c r="C19" s="11" t="n">
        <v>53122</v>
      </c>
      <c r="D19" s="11" t="n">
        <v>38799.82</v>
      </c>
      <c r="E19" s="12" t="n">
        <f aca="false">B19-C19-D19</f>
        <v>17465.18</v>
      </c>
      <c r="F19" s="11" t="n">
        <v>0</v>
      </c>
      <c r="G19" s="13" t="n">
        <f aca="false">E19-F19</f>
        <v>17465.18</v>
      </c>
    </row>
    <row r="20" customFormat="false" ht="15" hidden="false" customHeight="true" outlineLevel="0" collapsed="false">
      <c r="A20" s="10" t="n">
        <v>15</v>
      </c>
      <c r="B20" s="11" t="n">
        <v>120374.5</v>
      </c>
      <c r="C20" s="11" t="n">
        <v>58240.6</v>
      </c>
      <c r="D20" s="11" t="n">
        <v>41491.75</v>
      </c>
      <c r="E20" s="12" t="n">
        <f aca="false">B20-C20-D20</f>
        <v>20642.15</v>
      </c>
      <c r="F20" s="11" t="n">
        <v>0</v>
      </c>
      <c r="G20" s="13" t="n">
        <f aca="false">E20-F20</f>
        <v>20642.15</v>
      </c>
    </row>
    <row r="21" customFormat="false" ht="15" hidden="false" customHeight="true" outlineLevel="0" collapsed="false">
      <c r="A21" s="10" t="n">
        <v>16</v>
      </c>
      <c r="B21" s="11" t="n">
        <v>126362.5</v>
      </c>
      <c r="C21" s="11" t="n">
        <v>60218.42</v>
      </c>
      <c r="D21" s="11" t="n">
        <v>42958.81</v>
      </c>
      <c r="E21" s="12" t="n">
        <f aca="false">B21-C21-D21</f>
        <v>23185.27</v>
      </c>
      <c r="F21" s="11" t="n">
        <v>0</v>
      </c>
      <c r="G21" s="13" t="n">
        <f aca="false">E21-F21</f>
        <v>23185.27</v>
      </c>
    </row>
    <row r="22" customFormat="false" ht="15" hidden="false" customHeight="true" outlineLevel="0" collapsed="false">
      <c r="A22" s="10" t="n">
        <v>17</v>
      </c>
      <c r="B22" s="11" t="n">
        <v>135853</v>
      </c>
      <c r="C22" s="11" t="n">
        <v>65015.49</v>
      </c>
      <c r="D22" s="11" t="n">
        <v>45283.99</v>
      </c>
      <c r="E22" s="12" t="n">
        <f aca="false">B22-C22-D22</f>
        <v>25553.52</v>
      </c>
      <c r="F22" s="11" t="n">
        <v>0</v>
      </c>
      <c r="G22" s="13" t="n">
        <f aca="false">E22-F22</f>
        <v>25553.52</v>
      </c>
    </row>
    <row r="23" customFormat="false" ht="15" hidden="false" customHeight="true" outlineLevel="0" collapsed="false">
      <c r="A23" s="10" t="n">
        <v>18</v>
      </c>
      <c r="B23" s="11" t="n">
        <v>141841</v>
      </c>
      <c r="C23" s="11" t="n">
        <v>66978.03</v>
      </c>
      <c r="D23" s="11" t="n">
        <v>46751.05</v>
      </c>
      <c r="E23" s="12" t="n">
        <f aca="false">B23-C23-D23</f>
        <v>28111.92</v>
      </c>
      <c r="F23" s="11" t="n">
        <v>0</v>
      </c>
      <c r="G23" s="13" t="n">
        <f aca="false">E23-F23</f>
        <v>28111.92</v>
      </c>
    </row>
    <row r="24" customFormat="false" ht="15" hidden="false" customHeight="true" outlineLevel="0" collapsed="false">
      <c r="A24" s="10" t="n">
        <v>19</v>
      </c>
      <c r="B24" s="11" t="n">
        <v>157826</v>
      </c>
      <c r="C24" s="11" t="n">
        <v>75702.62</v>
      </c>
      <c r="D24" s="11" t="n">
        <v>50667.37</v>
      </c>
      <c r="E24" s="12" t="n">
        <f aca="false">B24-C24-D24</f>
        <v>31456.01</v>
      </c>
      <c r="F24" s="11" t="n">
        <v>0</v>
      </c>
      <c r="G24" s="13" t="n">
        <f aca="false">E24-F24</f>
        <v>31456.01</v>
      </c>
    </row>
    <row r="25" customFormat="false" ht="15" hidden="false" customHeight="true" outlineLevel="0" collapsed="false">
      <c r="A25" s="10" t="n">
        <v>20</v>
      </c>
      <c r="B25" s="11" t="n">
        <v>163814</v>
      </c>
      <c r="C25" s="11" t="n">
        <v>77638.6</v>
      </c>
      <c r="D25" s="11" t="n">
        <v>52134.43</v>
      </c>
      <c r="E25" s="12" t="n">
        <f aca="false">B25-C25-D25</f>
        <v>34040.97</v>
      </c>
      <c r="F25" s="11" t="n">
        <v>0</v>
      </c>
      <c r="G25" s="13" t="n">
        <f aca="false">E25-F25</f>
        <v>34040.97</v>
      </c>
    </row>
    <row r="26" customFormat="false" ht="15" hidden="false" customHeight="true" outlineLevel="0" collapsed="false">
      <c r="A26" s="10" t="n">
        <v>21</v>
      </c>
      <c r="B26" s="11" t="n">
        <v>169802</v>
      </c>
      <c r="C26" s="11" t="n">
        <v>79545.93</v>
      </c>
      <c r="D26" s="11" t="n">
        <v>53601.49</v>
      </c>
      <c r="E26" s="12" t="n">
        <f aca="false">B26-C26-D26</f>
        <v>36654.58</v>
      </c>
      <c r="F26" s="11" t="n">
        <v>0</v>
      </c>
      <c r="G26" s="13" t="n">
        <f aca="false">E26-F26</f>
        <v>36654.58</v>
      </c>
    </row>
    <row r="27" customFormat="false" ht="15" hidden="false" customHeight="true" outlineLevel="0" collapsed="false">
      <c r="A27" s="10" t="n">
        <v>22</v>
      </c>
      <c r="B27" s="11" t="n">
        <v>174293</v>
      </c>
      <c r="C27" s="11" t="n">
        <v>80993.12</v>
      </c>
      <c r="D27" s="11" t="n">
        <v>54701.79</v>
      </c>
      <c r="E27" s="12" t="n">
        <f aca="false">B27-C27-D27</f>
        <v>38598.09</v>
      </c>
      <c r="F27" s="11" t="n">
        <v>0</v>
      </c>
      <c r="G27" s="13" t="n">
        <f aca="false">E27-F27</f>
        <v>38598.09</v>
      </c>
    </row>
    <row r="28" customFormat="false" ht="15" hidden="false" customHeight="true" outlineLevel="0" collapsed="false">
      <c r="A28" s="10" t="n">
        <v>23</v>
      </c>
      <c r="B28" s="11" t="n">
        <v>178275.5</v>
      </c>
      <c r="C28" s="11" t="n">
        <v>80340.19</v>
      </c>
      <c r="D28" s="11" t="n">
        <v>55677.5</v>
      </c>
      <c r="E28" s="12" t="n">
        <f aca="false">B28-C28-D28</f>
        <v>42257.81</v>
      </c>
      <c r="F28" s="11" t="n">
        <v>0</v>
      </c>
      <c r="G28" s="13" t="n">
        <f aca="false">E28-F28</f>
        <v>42257.81</v>
      </c>
    </row>
    <row r="29" customFormat="false" ht="15" hidden="false" customHeight="true" outlineLevel="0" collapsed="false">
      <c r="A29" s="10" t="n">
        <v>24</v>
      </c>
      <c r="B29" s="11" t="n">
        <v>182766.5</v>
      </c>
      <c r="C29" s="11" t="n">
        <v>81752.92</v>
      </c>
      <c r="D29" s="11" t="n">
        <v>56777.79</v>
      </c>
      <c r="E29" s="12" t="n">
        <f aca="false">B29-C29-D29</f>
        <v>44235.79</v>
      </c>
      <c r="F29" s="11" t="n">
        <v>0</v>
      </c>
      <c r="G29" s="13" t="n">
        <f aca="false">E29-F29</f>
        <v>44235.79</v>
      </c>
    </row>
    <row r="30" customFormat="false" ht="15" hidden="false" customHeight="true" outlineLevel="0" collapsed="false">
      <c r="A30" s="14" t="s">
        <v>37</v>
      </c>
      <c r="B30" s="13" t="n">
        <f aca="false">SUM(B5:B29)</f>
        <v>2233383.5</v>
      </c>
      <c r="C30" s="13" t="n">
        <f aca="false">SUM(C5:C29)</f>
        <v>1023471.56</v>
      </c>
      <c r="D30" s="13" t="n">
        <f aca="false">SUM(D5:D29)</f>
        <v>828210.44</v>
      </c>
      <c r="E30" s="13" t="n">
        <f aca="false">SUM(E5:E29)</f>
        <v>381701.5</v>
      </c>
      <c r="F30" s="13" t="n">
        <f aca="false">SUM(F5:F29)</f>
        <v>102000</v>
      </c>
      <c r="G30" s="13" t="n">
        <f aca="false">SUM(G5:G29)</f>
        <v>279701.5</v>
      </c>
    </row>
    <row r="32" customFormat="false" ht="15" hidden="false" customHeight="true" outlineLevel="0" collapsed="false">
      <c r="A32" s="15" t="s">
        <v>38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6" t="s">
        <v>39</v>
      </c>
      <c r="B1" s="7"/>
      <c r="C1" s="7"/>
      <c r="D1" s="7"/>
      <c r="E1" s="7"/>
      <c r="F1" s="7"/>
      <c r="G1" s="7"/>
      <c r="H1" s="7"/>
    </row>
    <row r="2" customFormat="false" ht="15" hidden="false" customHeight="true" outlineLevel="0" collapsed="false">
      <c r="A2" s="8" t="s">
        <v>40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35</v>
      </c>
      <c r="F4" s="9" t="s">
        <v>36</v>
      </c>
      <c r="G4" s="9" t="s">
        <v>41</v>
      </c>
      <c r="H4" s="9" t="s">
        <v>42</v>
      </c>
    </row>
    <row r="5" customFormat="false" ht="15" hidden="false" customHeight="true" outlineLevel="0" collapsed="false">
      <c r="A5" s="10" t="n">
        <v>0</v>
      </c>
      <c r="B5" s="12" t="n">
        <f aca="false">'Fluxo de Caixa'!B5</f>
        <v>0</v>
      </c>
      <c r="C5" s="12" t="n">
        <f aca="false">'Fluxo de Caixa'!C5</f>
        <v>0</v>
      </c>
      <c r="D5" s="12" t="n">
        <f aca="false">'Fluxo de Caixa'!D5</f>
        <v>0</v>
      </c>
      <c r="E5" s="12" t="n">
        <f aca="false">'Fluxo de Caixa'!F5</f>
        <v>102000</v>
      </c>
      <c r="F5" s="12" t="n">
        <f aca="false">'Fluxo de Caixa'!G5</f>
        <v>-102000</v>
      </c>
      <c r="G5" s="13" t="n">
        <f aca="false">F5</f>
        <v>-102000</v>
      </c>
      <c r="H5" s="16" t="str">
        <f aca="false">IF(G5&gt;=0,"Sim","Não")</f>
        <v>Não</v>
      </c>
    </row>
    <row r="6" customFormat="false" ht="15" hidden="false" customHeight="true" outlineLevel="0" collapsed="false">
      <c r="A6" s="10" t="n">
        <v>1</v>
      </c>
      <c r="B6" s="12" t="n">
        <f aca="false">'Fluxo de Caixa'!B6</f>
        <v>5988</v>
      </c>
      <c r="C6" s="12" t="n">
        <f aca="false">'Fluxo de Caixa'!C6</f>
        <v>1479.9</v>
      </c>
      <c r="D6" s="12" t="n">
        <f aca="false">'Fluxo de Caixa'!D6</f>
        <v>12000</v>
      </c>
      <c r="E6" s="12" t="n">
        <f aca="false">'Fluxo de Caixa'!F6</f>
        <v>0</v>
      </c>
      <c r="F6" s="12" t="n">
        <f aca="false">'Fluxo de Caixa'!G6</f>
        <v>-7491.9</v>
      </c>
      <c r="G6" s="13" t="n">
        <f aca="false">G5+F6</f>
        <v>-109491.9</v>
      </c>
      <c r="H6" s="16" t="str">
        <f aca="false">IF(G6&gt;=0,"Sim","Não")</f>
        <v>Não</v>
      </c>
    </row>
    <row r="7" customFormat="false" ht="15" hidden="false" customHeight="true" outlineLevel="0" collapsed="false">
      <c r="A7" s="10" t="n">
        <v>2</v>
      </c>
      <c r="B7" s="12" t="n">
        <f aca="false">'Fluxo de Caixa'!B7</f>
        <v>8982</v>
      </c>
      <c r="C7" s="12" t="n">
        <f aca="false">'Fluxo de Caixa'!C7</f>
        <v>2219.85</v>
      </c>
      <c r="D7" s="12" t="n">
        <f aca="false">'Fluxo de Caixa'!D7</f>
        <v>12000</v>
      </c>
      <c r="E7" s="12" t="n">
        <f aca="false">'Fluxo de Caixa'!F7</f>
        <v>0</v>
      </c>
      <c r="F7" s="12" t="n">
        <f aca="false">'Fluxo de Caixa'!G7</f>
        <v>-5237.85</v>
      </c>
      <c r="G7" s="13" t="n">
        <f aca="false">G6+F7</f>
        <v>-114729.75</v>
      </c>
      <c r="H7" s="16" t="str">
        <f aca="false">IF(G7&gt;=0,"Sim","Não")</f>
        <v>Não</v>
      </c>
    </row>
    <row r="8" customFormat="false" ht="15" hidden="false" customHeight="true" outlineLevel="0" collapsed="false">
      <c r="A8" s="10" t="n">
        <v>3</v>
      </c>
      <c r="B8" s="12" t="n">
        <f aca="false">'Fluxo de Caixa'!B8</f>
        <v>13473</v>
      </c>
      <c r="C8" s="12" t="n">
        <f aca="false">'Fluxo de Caixa'!C8</f>
        <v>3329.78</v>
      </c>
      <c r="D8" s="12" t="n">
        <f aca="false">'Fluxo de Caixa'!D8</f>
        <v>12000</v>
      </c>
      <c r="E8" s="12" t="n">
        <f aca="false">'Fluxo de Caixa'!F8</f>
        <v>0</v>
      </c>
      <c r="F8" s="12" t="n">
        <f aca="false">'Fluxo de Caixa'!G8</f>
        <v>-1856.78</v>
      </c>
      <c r="G8" s="13" t="n">
        <f aca="false">G7+F8</f>
        <v>-116586.53</v>
      </c>
      <c r="H8" s="16" t="str">
        <f aca="false">IF(G8&gt;=0,"Sim","Não")</f>
        <v>Não</v>
      </c>
    </row>
    <row r="9" customFormat="false" ht="15" hidden="false" customHeight="true" outlineLevel="0" collapsed="false">
      <c r="A9" s="10" t="n">
        <v>4</v>
      </c>
      <c r="B9" s="12" t="n">
        <f aca="false">'Fluxo de Caixa'!B9</f>
        <v>24967</v>
      </c>
      <c r="C9" s="12" t="n">
        <f aca="false">'Fluxo de Caixa'!C9</f>
        <v>10156.02</v>
      </c>
      <c r="D9" s="12" t="n">
        <f aca="false">'Fluxo de Caixa'!D9</f>
        <v>18116.92</v>
      </c>
      <c r="E9" s="12" t="n">
        <f aca="false">'Fluxo de Caixa'!F9</f>
        <v>0</v>
      </c>
      <c r="F9" s="12" t="n">
        <f aca="false">'Fluxo de Caixa'!G9</f>
        <v>-3305.94</v>
      </c>
      <c r="G9" s="13" t="n">
        <f aca="false">G8+F9</f>
        <v>-119892.47</v>
      </c>
      <c r="H9" s="16" t="str">
        <f aca="false">IF(G9&gt;=0,"Sim","Não")</f>
        <v>Não</v>
      </c>
    </row>
    <row r="10" customFormat="false" ht="15" hidden="false" customHeight="true" outlineLevel="0" collapsed="false">
      <c r="A10" s="10" t="n">
        <v>5</v>
      </c>
      <c r="B10" s="12" t="n">
        <f aca="false">'Fluxo de Caixa'!B10</f>
        <v>29458</v>
      </c>
      <c r="C10" s="12" t="n">
        <f aca="false">'Fluxo de Caixa'!C10</f>
        <v>11265.95</v>
      </c>
      <c r="D10" s="12" t="n">
        <f aca="false">'Fluxo de Caixa'!D10</f>
        <v>19217.21</v>
      </c>
      <c r="E10" s="12" t="n">
        <f aca="false">'Fluxo de Caixa'!F10</f>
        <v>0</v>
      </c>
      <c r="F10" s="12" t="n">
        <f aca="false">'Fluxo de Caixa'!G10</f>
        <v>-1025.16</v>
      </c>
      <c r="G10" s="13" t="n">
        <f aca="false">G9+F10</f>
        <v>-120917.63</v>
      </c>
      <c r="H10" s="16" t="str">
        <f aca="false">IF(G10&gt;=0,"Sim","Não")</f>
        <v>Não</v>
      </c>
    </row>
    <row r="11" customFormat="false" ht="15" hidden="false" customHeight="true" outlineLevel="0" collapsed="false">
      <c r="A11" s="10" t="n">
        <v>6</v>
      </c>
      <c r="B11" s="12" t="n">
        <f aca="false">'Fluxo de Caixa'!B11</f>
        <v>35954.5</v>
      </c>
      <c r="C11" s="12" t="n">
        <f aca="false">'Fluxo de Caixa'!C11</f>
        <v>14903.98</v>
      </c>
      <c r="D11" s="12" t="n">
        <f aca="false">'Fluxo de Caixa'!D11</f>
        <v>20808.85</v>
      </c>
      <c r="E11" s="12" t="n">
        <f aca="false">'Fluxo de Caixa'!F11</f>
        <v>0</v>
      </c>
      <c r="F11" s="12" t="n">
        <f aca="false">'Fluxo de Caixa'!G11</f>
        <v>241.670000000002</v>
      </c>
      <c r="G11" s="13" t="n">
        <f aca="false">G10+F11</f>
        <v>-120675.96</v>
      </c>
      <c r="H11" s="16" t="str">
        <f aca="false">IF(G11&gt;=0,"Sim","Não")</f>
        <v>Não</v>
      </c>
    </row>
    <row r="12" customFormat="false" ht="15" hidden="false" customHeight="true" outlineLevel="0" collapsed="false">
      <c r="A12" s="10" t="n">
        <v>7</v>
      </c>
      <c r="B12" s="12" t="n">
        <f aca="false">'Fluxo de Caixa'!B12</f>
        <v>40445.5</v>
      </c>
      <c r="C12" s="12" t="n">
        <f aca="false">'Fluxo de Caixa'!C12</f>
        <v>16173.83</v>
      </c>
      <c r="D12" s="12" t="n">
        <f aca="false">'Fluxo de Caixa'!D12</f>
        <v>21909.15</v>
      </c>
      <c r="E12" s="12" t="n">
        <f aca="false">'Fluxo de Caixa'!F12</f>
        <v>0</v>
      </c>
      <c r="F12" s="12" t="n">
        <f aca="false">'Fluxo de Caixa'!G12</f>
        <v>2362.52</v>
      </c>
      <c r="G12" s="13" t="n">
        <f aca="false">G11+F12</f>
        <v>-118313.44</v>
      </c>
      <c r="H12" s="16" t="str">
        <f aca="false">IF(G12&gt;=0,"Sim","Não")</f>
        <v>Não</v>
      </c>
    </row>
    <row r="13" customFormat="false" ht="15" hidden="false" customHeight="true" outlineLevel="0" collapsed="false">
      <c r="A13" s="10" t="n">
        <v>8</v>
      </c>
      <c r="B13" s="12" t="n">
        <f aca="false">'Fluxo de Caixa'!B13</f>
        <v>46942</v>
      </c>
      <c r="C13" s="12" t="n">
        <f aca="false">'Fluxo de Caixa'!C13</f>
        <v>19881.12</v>
      </c>
      <c r="D13" s="12" t="n">
        <f aca="false">'Fluxo de Caixa'!D13</f>
        <v>23500.79</v>
      </c>
      <c r="E13" s="12" t="n">
        <f aca="false">'Fluxo de Caixa'!F13</f>
        <v>0</v>
      </c>
      <c r="F13" s="12" t="n">
        <f aca="false">'Fluxo de Caixa'!G13</f>
        <v>3560.09</v>
      </c>
      <c r="G13" s="13" t="n">
        <f aca="false">G12+F13</f>
        <v>-114753.35</v>
      </c>
      <c r="H13" s="16" t="str">
        <f aca="false">IF(G13&gt;=0,"Sim","Não")</f>
        <v>Não</v>
      </c>
    </row>
    <row r="14" customFormat="false" ht="15" hidden="false" customHeight="true" outlineLevel="0" collapsed="false">
      <c r="A14" s="10" t="n">
        <v>9</v>
      </c>
      <c r="B14" s="12" t="n">
        <f aca="false">'Fluxo de Caixa'!B14</f>
        <v>61430</v>
      </c>
      <c r="C14" s="12" t="n">
        <f aca="false">'Fluxo de Caixa'!C14</f>
        <v>27581.5</v>
      </c>
      <c r="D14" s="12" t="n">
        <f aca="false">'Fluxo de Caixa'!D14</f>
        <v>27050.35</v>
      </c>
      <c r="E14" s="12" t="n">
        <f aca="false">'Fluxo de Caixa'!F14</f>
        <v>0</v>
      </c>
      <c r="F14" s="12" t="n">
        <f aca="false">'Fluxo de Caixa'!G14</f>
        <v>6798.15</v>
      </c>
      <c r="G14" s="13" t="n">
        <f aca="false">G13+F14</f>
        <v>-107955.2</v>
      </c>
      <c r="H14" s="16" t="str">
        <f aca="false">IF(G14&gt;=0,"Sim","Não")</f>
        <v>Não</v>
      </c>
    </row>
    <row r="15" customFormat="false" ht="15" hidden="false" customHeight="true" outlineLevel="0" collapsed="false">
      <c r="A15" s="10" t="n">
        <v>10</v>
      </c>
      <c r="B15" s="12" t="n">
        <f aca="false">'Fluxo de Caixa'!B15</f>
        <v>59426.5</v>
      </c>
      <c r="C15" s="12" t="n">
        <f aca="false">'Fluxo de Caixa'!C15</f>
        <v>25142.12</v>
      </c>
      <c r="D15" s="12" t="n">
        <f aca="false">'Fluxo de Caixa'!D15</f>
        <v>26559.49</v>
      </c>
      <c r="E15" s="12" t="n">
        <f aca="false">'Fluxo de Caixa'!F15</f>
        <v>0</v>
      </c>
      <c r="F15" s="12" t="n">
        <f aca="false">'Fluxo de Caixa'!G15</f>
        <v>7724.89</v>
      </c>
      <c r="G15" s="13" t="n">
        <f aca="false">G14+F15</f>
        <v>-100230.31</v>
      </c>
      <c r="H15" s="16" t="str">
        <f aca="false">IF(G15&gt;=0,"Sim","Não")</f>
        <v>Não</v>
      </c>
    </row>
    <row r="16" customFormat="false" ht="15" hidden="false" customHeight="true" outlineLevel="0" collapsed="false">
      <c r="A16" s="10" t="n">
        <v>11</v>
      </c>
      <c r="B16" s="12" t="n">
        <f aca="false">'Fluxo de Caixa'!B16</f>
        <v>73914.5</v>
      </c>
      <c r="C16" s="12" t="n">
        <f aca="false">'Fluxo de Caixa'!C16</f>
        <v>32956.18</v>
      </c>
      <c r="D16" s="12" t="n">
        <f aca="false">'Fluxo de Caixa'!D16</f>
        <v>30109.05</v>
      </c>
      <c r="E16" s="12" t="n">
        <f aca="false">'Fluxo de Caixa'!F16</f>
        <v>0</v>
      </c>
      <c r="F16" s="12" t="n">
        <f aca="false">'Fluxo de Caixa'!G16</f>
        <v>10849.27</v>
      </c>
      <c r="G16" s="13" t="n">
        <f aca="false">G15+F16</f>
        <v>-89381.04</v>
      </c>
      <c r="H16" s="16" t="str">
        <f aca="false">IF(G16&gt;=0,"Sim","Não")</f>
        <v>Não</v>
      </c>
    </row>
    <row r="17" customFormat="false" ht="15" hidden="false" customHeight="true" outlineLevel="0" collapsed="false">
      <c r="A17" s="10" t="n">
        <v>12</v>
      </c>
      <c r="B17" s="12" t="n">
        <f aca="false">'Fluxo de Caixa'!B17</f>
        <v>66911.5</v>
      </c>
      <c r="C17" s="12" t="n">
        <f aca="false">'Fluxo de Caixa'!C17</f>
        <v>27417.83</v>
      </c>
      <c r="D17" s="12" t="n">
        <f aca="false">'Fluxo de Caixa'!D17</f>
        <v>28393.32</v>
      </c>
      <c r="E17" s="12" t="n">
        <f aca="false">'Fluxo de Caixa'!F17</f>
        <v>0</v>
      </c>
      <c r="F17" s="12" t="n">
        <f aca="false">'Fluxo de Caixa'!G17</f>
        <v>11100.35</v>
      </c>
      <c r="G17" s="13" t="n">
        <f aca="false">G16+F17</f>
        <v>-78280.69</v>
      </c>
      <c r="H17" s="16" t="str">
        <f aca="false">IF(G17&gt;=0,"Sim","Não")</f>
        <v>Não</v>
      </c>
    </row>
    <row r="18" customFormat="false" ht="15" hidden="false" customHeight="true" outlineLevel="0" collapsed="false">
      <c r="A18" s="10" t="n">
        <v>13</v>
      </c>
      <c r="B18" s="12" t="n">
        <f aca="false">'Fluxo de Caixa'!B18</f>
        <v>104896</v>
      </c>
      <c r="C18" s="12" t="n">
        <f aca="false">'Fluxo de Caixa'!C18</f>
        <v>51415.58</v>
      </c>
      <c r="D18" s="12" t="n">
        <f aca="false">'Fluxo de Caixa'!D18</f>
        <v>37699.52</v>
      </c>
      <c r="E18" s="12" t="n">
        <f aca="false">'Fluxo de Caixa'!F18</f>
        <v>0</v>
      </c>
      <c r="F18" s="12" t="n">
        <f aca="false">'Fluxo de Caixa'!G18</f>
        <v>15780.9</v>
      </c>
      <c r="G18" s="13" t="n">
        <f aca="false">G17+F18</f>
        <v>-62499.79</v>
      </c>
      <c r="H18" s="16" t="str">
        <f aca="false">IF(G18&gt;=0,"Sim","Não")</f>
        <v>Não</v>
      </c>
    </row>
    <row r="19" customFormat="false" ht="15" hidden="false" customHeight="true" outlineLevel="0" collapsed="false">
      <c r="A19" s="10" t="n">
        <v>14</v>
      </c>
      <c r="B19" s="12" t="n">
        <f aca="false">'Fluxo de Caixa'!B19</f>
        <v>109387</v>
      </c>
      <c r="C19" s="12" t="n">
        <f aca="false">'Fluxo de Caixa'!C19</f>
        <v>53122</v>
      </c>
      <c r="D19" s="12" t="n">
        <f aca="false">'Fluxo de Caixa'!D19</f>
        <v>38799.82</v>
      </c>
      <c r="E19" s="12" t="n">
        <f aca="false">'Fluxo de Caixa'!F19</f>
        <v>0</v>
      </c>
      <c r="F19" s="12" t="n">
        <f aca="false">'Fluxo de Caixa'!G19</f>
        <v>17465.18</v>
      </c>
      <c r="G19" s="13" t="n">
        <f aca="false">G18+F19</f>
        <v>-45034.61</v>
      </c>
      <c r="H19" s="16" t="str">
        <f aca="false">IF(G19&gt;=0,"Sim","Não")</f>
        <v>Não</v>
      </c>
    </row>
    <row r="20" customFormat="false" ht="15" hidden="false" customHeight="true" outlineLevel="0" collapsed="false">
      <c r="A20" s="10" t="n">
        <v>15</v>
      </c>
      <c r="B20" s="12" t="n">
        <f aca="false">'Fluxo de Caixa'!B20</f>
        <v>120374.5</v>
      </c>
      <c r="C20" s="12" t="n">
        <f aca="false">'Fluxo de Caixa'!C20</f>
        <v>58240.6</v>
      </c>
      <c r="D20" s="12" t="n">
        <f aca="false">'Fluxo de Caixa'!D20</f>
        <v>41491.75</v>
      </c>
      <c r="E20" s="12" t="n">
        <f aca="false">'Fluxo de Caixa'!F20</f>
        <v>0</v>
      </c>
      <c r="F20" s="12" t="n">
        <f aca="false">'Fluxo de Caixa'!G20</f>
        <v>20642.15</v>
      </c>
      <c r="G20" s="13" t="n">
        <f aca="false">G19+F20</f>
        <v>-24392.46</v>
      </c>
      <c r="H20" s="16" t="str">
        <f aca="false">IF(G20&gt;=0,"Sim","Não")</f>
        <v>Não</v>
      </c>
    </row>
    <row r="21" customFormat="false" ht="15" hidden="false" customHeight="true" outlineLevel="0" collapsed="false">
      <c r="A21" s="10" t="n">
        <v>16</v>
      </c>
      <c r="B21" s="12" t="n">
        <f aca="false">'Fluxo de Caixa'!B21</f>
        <v>126362.5</v>
      </c>
      <c r="C21" s="12" t="n">
        <f aca="false">'Fluxo de Caixa'!C21</f>
        <v>60218.42</v>
      </c>
      <c r="D21" s="12" t="n">
        <f aca="false">'Fluxo de Caixa'!D21</f>
        <v>42958.81</v>
      </c>
      <c r="E21" s="12" t="n">
        <f aca="false">'Fluxo de Caixa'!F21</f>
        <v>0</v>
      </c>
      <c r="F21" s="12" t="n">
        <f aca="false">'Fluxo de Caixa'!G21</f>
        <v>23185.27</v>
      </c>
      <c r="G21" s="13" t="n">
        <f aca="false">G20+F21</f>
        <v>-1207.19</v>
      </c>
      <c r="H21" s="16" t="str">
        <f aca="false">IF(G21&gt;=0,"Sim","Não")</f>
        <v>Não</v>
      </c>
    </row>
    <row r="22" customFormat="false" ht="15" hidden="false" customHeight="true" outlineLevel="0" collapsed="false">
      <c r="A22" s="10" t="n">
        <v>17</v>
      </c>
      <c r="B22" s="12" t="n">
        <f aca="false">'Fluxo de Caixa'!B22</f>
        <v>135853</v>
      </c>
      <c r="C22" s="12" t="n">
        <f aca="false">'Fluxo de Caixa'!C22</f>
        <v>65015.49</v>
      </c>
      <c r="D22" s="12" t="n">
        <f aca="false">'Fluxo de Caixa'!D22</f>
        <v>45283.99</v>
      </c>
      <c r="E22" s="12" t="n">
        <f aca="false">'Fluxo de Caixa'!F22</f>
        <v>0</v>
      </c>
      <c r="F22" s="12" t="n">
        <f aca="false">'Fluxo de Caixa'!G22</f>
        <v>25553.52</v>
      </c>
      <c r="G22" s="13" t="n">
        <f aca="false">G21+F22</f>
        <v>24346.33</v>
      </c>
      <c r="H22" s="16" t="str">
        <f aca="false">IF(G22&gt;=0,"Sim","Não")</f>
        <v>Sim</v>
      </c>
    </row>
    <row r="23" customFormat="false" ht="15" hidden="false" customHeight="true" outlineLevel="0" collapsed="false">
      <c r="A23" s="10" t="n">
        <v>18</v>
      </c>
      <c r="B23" s="12" t="n">
        <f aca="false">'Fluxo de Caixa'!B23</f>
        <v>141841</v>
      </c>
      <c r="C23" s="12" t="n">
        <f aca="false">'Fluxo de Caixa'!C23</f>
        <v>66978.03</v>
      </c>
      <c r="D23" s="12" t="n">
        <f aca="false">'Fluxo de Caixa'!D23</f>
        <v>46751.05</v>
      </c>
      <c r="E23" s="12" t="n">
        <f aca="false">'Fluxo de Caixa'!F23</f>
        <v>0</v>
      </c>
      <c r="F23" s="12" t="n">
        <f aca="false">'Fluxo de Caixa'!G23</f>
        <v>28111.92</v>
      </c>
      <c r="G23" s="13" t="n">
        <f aca="false">G22+F23</f>
        <v>52458.25</v>
      </c>
      <c r="H23" s="16" t="str">
        <f aca="false">IF(G23&gt;=0,"Sim","Não")</f>
        <v>Sim</v>
      </c>
    </row>
    <row r="24" customFormat="false" ht="15" hidden="false" customHeight="true" outlineLevel="0" collapsed="false">
      <c r="A24" s="10" t="n">
        <v>19</v>
      </c>
      <c r="B24" s="12" t="n">
        <f aca="false">'Fluxo de Caixa'!B24</f>
        <v>157826</v>
      </c>
      <c r="C24" s="12" t="n">
        <f aca="false">'Fluxo de Caixa'!C24</f>
        <v>75702.62</v>
      </c>
      <c r="D24" s="12" t="n">
        <f aca="false">'Fluxo de Caixa'!D24</f>
        <v>50667.37</v>
      </c>
      <c r="E24" s="12" t="n">
        <f aca="false">'Fluxo de Caixa'!F24</f>
        <v>0</v>
      </c>
      <c r="F24" s="12" t="n">
        <f aca="false">'Fluxo de Caixa'!G24</f>
        <v>31456.01</v>
      </c>
      <c r="G24" s="13" t="n">
        <f aca="false">G23+F24</f>
        <v>83914.26</v>
      </c>
      <c r="H24" s="16" t="str">
        <f aca="false">IF(G24&gt;=0,"Sim","Não")</f>
        <v>Sim</v>
      </c>
    </row>
    <row r="25" customFormat="false" ht="15" hidden="false" customHeight="true" outlineLevel="0" collapsed="false">
      <c r="A25" s="10" t="n">
        <v>20</v>
      </c>
      <c r="B25" s="12" t="n">
        <f aca="false">'Fluxo de Caixa'!B25</f>
        <v>163814</v>
      </c>
      <c r="C25" s="12" t="n">
        <f aca="false">'Fluxo de Caixa'!C25</f>
        <v>77638.6</v>
      </c>
      <c r="D25" s="12" t="n">
        <f aca="false">'Fluxo de Caixa'!D25</f>
        <v>52134.43</v>
      </c>
      <c r="E25" s="12" t="n">
        <f aca="false">'Fluxo de Caixa'!F25</f>
        <v>0</v>
      </c>
      <c r="F25" s="12" t="n">
        <f aca="false">'Fluxo de Caixa'!G25</f>
        <v>34040.97</v>
      </c>
      <c r="G25" s="13" t="n">
        <f aca="false">G24+F25</f>
        <v>117955.23</v>
      </c>
      <c r="H25" s="16" t="str">
        <f aca="false">IF(G25&gt;=0,"Sim","Não")</f>
        <v>Sim</v>
      </c>
    </row>
    <row r="26" customFormat="false" ht="15" hidden="false" customHeight="true" outlineLevel="0" collapsed="false">
      <c r="A26" s="10" t="n">
        <v>21</v>
      </c>
      <c r="B26" s="12" t="n">
        <f aca="false">'Fluxo de Caixa'!B26</f>
        <v>169802</v>
      </c>
      <c r="C26" s="12" t="n">
        <f aca="false">'Fluxo de Caixa'!C26</f>
        <v>79545.93</v>
      </c>
      <c r="D26" s="12" t="n">
        <f aca="false">'Fluxo de Caixa'!D26</f>
        <v>53601.49</v>
      </c>
      <c r="E26" s="12" t="n">
        <f aca="false">'Fluxo de Caixa'!F26</f>
        <v>0</v>
      </c>
      <c r="F26" s="12" t="n">
        <f aca="false">'Fluxo de Caixa'!G26</f>
        <v>36654.58</v>
      </c>
      <c r="G26" s="13" t="n">
        <f aca="false">G25+F26</f>
        <v>154609.81</v>
      </c>
      <c r="H26" s="16" t="str">
        <f aca="false">IF(G26&gt;=0,"Sim","Não")</f>
        <v>Sim</v>
      </c>
    </row>
    <row r="27" customFormat="false" ht="15" hidden="false" customHeight="true" outlineLevel="0" collapsed="false">
      <c r="A27" s="10" t="n">
        <v>22</v>
      </c>
      <c r="B27" s="12" t="n">
        <f aca="false">'Fluxo de Caixa'!B27</f>
        <v>174293</v>
      </c>
      <c r="C27" s="12" t="n">
        <f aca="false">'Fluxo de Caixa'!C27</f>
        <v>80993.12</v>
      </c>
      <c r="D27" s="12" t="n">
        <f aca="false">'Fluxo de Caixa'!D27</f>
        <v>54701.79</v>
      </c>
      <c r="E27" s="12" t="n">
        <f aca="false">'Fluxo de Caixa'!F27</f>
        <v>0</v>
      </c>
      <c r="F27" s="12" t="n">
        <f aca="false">'Fluxo de Caixa'!G27</f>
        <v>38598.09</v>
      </c>
      <c r="G27" s="13" t="n">
        <f aca="false">G26+F27</f>
        <v>193207.9</v>
      </c>
      <c r="H27" s="16" t="str">
        <f aca="false">IF(G27&gt;=0,"Sim","Não")</f>
        <v>Sim</v>
      </c>
    </row>
    <row r="28" customFormat="false" ht="15" hidden="false" customHeight="true" outlineLevel="0" collapsed="false">
      <c r="A28" s="10" t="n">
        <v>23</v>
      </c>
      <c r="B28" s="12" t="n">
        <f aca="false">'Fluxo de Caixa'!B28</f>
        <v>178275.5</v>
      </c>
      <c r="C28" s="12" t="n">
        <f aca="false">'Fluxo de Caixa'!C28</f>
        <v>80340.19</v>
      </c>
      <c r="D28" s="12" t="n">
        <f aca="false">'Fluxo de Caixa'!D28</f>
        <v>55677.5</v>
      </c>
      <c r="E28" s="12" t="n">
        <f aca="false">'Fluxo de Caixa'!F28</f>
        <v>0</v>
      </c>
      <c r="F28" s="12" t="n">
        <f aca="false">'Fluxo de Caixa'!G28</f>
        <v>42257.81</v>
      </c>
      <c r="G28" s="13" t="n">
        <f aca="false">G27+F28</f>
        <v>235465.71</v>
      </c>
      <c r="H28" s="16" t="str">
        <f aca="false">IF(G28&gt;=0,"Sim","Não")</f>
        <v>Sim</v>
      </c>
    </row>
    <row r="29" customFormat="false" ht="15" hidden="false" customHeight="true" outlineLevel="0" collapsed="false">
      <c r="A29" s="10" t="n">
        <v>24</v>
      </c>
      <c r="B29" s="12" t="n">
        <f aca="false">'Fluxo de Caixa'!B29</f>
        <v>182766.5</v>
      </c>
      <c r="C29" s="12" t="n">
        <f aca="false">'Fluxo de Caixa'!C29</f>
        <v>81752.92</v>
      </c>
      <c r="D29" s="12" t="n">
        <f aca="false">'Fluxo de Caixa'!D29</f>
        <v>56777.79</v>
      </c>
      <c r="E29" s="12" t="n">
        <f aca="false">'Fluxo de Caixa'!F29</f>
        <v>0</v>
      </c>
      <c r="F29" s="12" t="n">
        <f aca="false">'Fluxo de Caixa'!G29</f>
        <v>44235.79</v>
      </c>
      <c r="G29" s="13" t="n">
        <f aca="false">G28+F29</f>
        <v>279701.5</v>
      </c>
      <c r="H29" s="16" t="str">
        <f aca="false">IF(G29&gt;=0,"Sim","Não")</f>
        <v>Sim</v>
      </c>
    </row>
    <row r="31" customFormat="false" ht="15" hidden="false" customHeight="true" outlineLevel="0" collapsed="false">
      <c r="A31" s="4" t="s">
        <v>43</v>
      </c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3" t="s">
        <v>44</v>
      </c>
      <c r="F32" s="17" t="n">
        <f aca="false">MAX(0,-MIN(G5:G29))</f>
        <v>120917.63</v>
      </c>
      <c r="G32" s="18" t="s">
        <v>45</v>
      </c>
    </row>
    <row r="33" customFormat="false" ht="15" hidden="false" customHeight="true" outlineLevel="0" collapsed="false">
      <c r="A33" s="3" t="s">
        <v>46</v>
      </c>
      <c r="F33" s="19" t="n">
        <f aca="false">IFERROR(INDEX(A5:A29,MATCH("Sim",H5:H29,0)),"Não recupera")</f>
        <v>17</v>
      </c>
      <c r="G33" s="18" t="s">
        <v>47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6" t="s">
        <v>48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49</v>
      </c>
    </row>
    <row r="4" customFormat="false" ht="15" hidden="false" customHeight="true" outlineLevel="0" collapsed="false">
      <c r="A4" s="4" t="s">
        <v>50</v>
      </c>
      <c r="B4" s="7"/>
      <c r="C4" s="7"/>
      <c r="D4" s="7"/>
      <c r="E4" s="7"/>
      <c r="F4" s="7"/>
      <c r="G4" s="7"/>
    </row>
    <row r="5" customFormat="false" ht="15" hidden="false" customHeight="true" outlineLevel="0" collapsed="false">
      <c r="A5" s="3" t="s">
        <v>51</v>
      </c>
      <c r="B5" s="20" t="n">
        <v>0.24</v>
      </c>
      <c r="C5" s="18" t="s">
        <v>52</v>
      </c>
    </row>
    <row r="6" customFormat="false" ht="15" hidden="false" customHeight="true" outlineLevel="0" collapsed="false">
      <c r="A6" s="3" t="s">
        <v>53</v>
      </c>
      <c r="B6" s="21" t="s">
        <v>54</v>
      </c>
      <c r="C6" s="18" t="s">
        <v>55</v>
      </c>
    </row>
    <row r="7" customFormat="false" ht="15" hidden="false" customHeight="true" outlineLevel="0" collapsed="false">
      <c r="A7" s="3" t="s">
        <v>56</v>
      </c>
      <c r="B7" s="22" t="n">
        <f aca="false">IF(B6="Mensal",(1+B5)^(1/12)-1,B5)</f>
        <v>0.0180875824835107</v>
      </c>
      <c r="C7" s="18" t="s">
        <v>57</v>
      </c>
    </row>
    <row r="9" customFormat="false" ht="15" hidden="false" customHeight="true" outlineLevel="0" collapsed="false">
      <c r="A9" s="4" t="s">
        <v>58</v>
      </c>
      <c r="B9" s="7"/>
      <c r="C9" s="7"/>
      <c r="D9" s="7"/>
      <c r="E9" s="7"/>
      <c r="F9" s="7"/>
      <c r="G9" s="7"/>
    </row>
    <row r="10" customFormat="false" ht="31.5" hidden="false" customHeight="true" outlineLevel="0" collapsed="false">
      <c r="A10" s="9" t="s">
        <v>30</v>
      </c>
      <c r="B10" s="9" t="s">
        <v>59</v>
      </c>
      <c r="C10" s="9" t="s">
        <v>60</v>
      </c>
      <c r="D10" s="9" t="s">
        <v>61</v>
      </c>
      <c r="E10" s="9" t="s">
        <v>62</v>
      </c>
      <c r="F10" s="9" t="s">
        <v>63</v>
      </c>
    </row>
    <row r="11" customFormat="false" ht="15" hidden="false" customHeight="true" outlineLevel="0" collapsed="false">
      <c r="A11" s="10" t="n">
        <v>0</v>
      </c>
      <c r="B11" s="12" t="n">
        <f aca="false">'Fluxo de Caixa'!G5</f>
        <v>-102000</v>
      </c>
      <c r="C11" s="23" t="n">
        <f aca="false">1/(1+$B$7)^A11</f>
        <v>1</v>
      </c>
      <c r="D11" s="12" t="n">
        <f aca="false">B11*C11</f>
        <v>-102000</v>
      </c>
      <c r="E11" s="13" t="n">
        <f aca="false">D11</f>
        <v>-102000</v>
      </c>
      <c r="F11" s="16" t="str">
        <f aca="false">IF(E11&gt;=0,"Sim","Não")</f>
        <v>Não</v>
      </c>
    </row>
    <row r="12" customFormat="false" ht="15" hidden="false" customHeight="true" outlineLevel="0" collapsed="false">
      <c r="A12" s="10" t="n">
        <v>1</v>
      </c>
      <c r="B12" s="12" t="n">
        <f aca="false">'Fluxo de Caixa'!G6</f>
        <v>-7491.9</v>
      </c>
      <c r="C12" s="23" t="n">
        <f aca="false">1/(1+$B$7)^A12</f>
        <v>0.982233765744016</v>
      </c>
      <c r="D12" s="12" t="n">
        <f aca="false">B12*C12</f>
        <v>-7358.79714957759</v>
      </c>
      <c r="E12" s="13" t="n">
        <f aca="false">E11+D12</f>
        <v>-109358.797149578</v>
      </c>
      <c r="F12" s="16" t="str">
        <f aca="false">IF(E12&gt;=0,"Sim","Não")</f>
        <v>Não</v>
      </c>
    </row>
    <row r="13" customFormat="false" ht="15" hidden="false" customHeight="true" outlineLevel="0" collapsed="false">
      <c r="A13" s="10" t="n">
        <v>2</v>
      </c>
      <c r="B13" s="12" t="n">
        <f aca="false">'Fluxo de Caixa'!G7</f>
        <v>-5237.85</v>
      </c>
      <c r="C13" s="23" t="n">
        <f aca="false">1/(1+$B$7)^A13</f>
        <v>0.96478317056767</v>
      </c>
      <c r="D13" s="12" t="n">
        <f aca="false">B13*C13</f>
        <v>-5053.38952995787</v>
      </c>
      <c r="E13" s="13" t="n">
        <f aca="false">E12+D13</f>
        <v>-114412.186679535</v>
      </c>
      <c r="F13" s="16" t="str">
        <f aca="false">IF(E13&gt;=0,"Sim","Não")</f>
        <v>Não</v>
      </c>
    </row>
    <row r="14" customFormat="false" ht="15" hidden="false" customHeight="true" outlineLevel="0" collapsed="false">
      <c r="A14" s="10" t="n">
        <v>3</v>
      </c>
      <c r="B14" s="12" t="n">
        <f aca="false">'Fluxo de Caixa'!G8</f>
        <v>-1856.78</v>
      </c>
      <c r="C14" s="23" t="n">
        <f aca="false">1/(1+$B$7)^A14</f>
        <v>0.947642606753134</v>
      </c>
      <c r="D14" s="12" t="n">
        <f aca="false">B14*C14</f>
        <v>-1759.56383936708</v>
      </c>
      <c r="E14" s="13" t="n">
        <f aca="false">E13+D14</f>
        <v>-116171.750518903</v>
      </c>
      <c r="F14" s="16" t="str">
        <f aca="false">IF(E14&gt;=0,"Sim","Não")</f>
        <v>Não</v>
      </c>
    </row>
    <row r="15" customFormat="false" ht="15" hidden="false" customHeight="true" outlineLevel="0" collapsed="false">
      <c r="A15" s="10" t="n">
        <v>4</v>
      </c>
      <c r="B15" s="12" t="n">
        <f aca="false">'Fluxo de Caixa'!G9</f>
        <v>-3305.94</v>
      </c>
      <c r="C15" s="23" t="n">
        <f aca="false">1/(1+$B$7)^A15</f>
        <v>0.930806566210606</v>
      </c>
      <c r="D15" s="12" t="n">
        <f aca="false">B15*C15</f>
        <v>-3077.19065949829</v>
      </c>
      <c r="E15" s="13" t="n">
        <f aca="false">E14+D15</f>
        <v>-119248.941178401</v>
      </c>
      <c r="F15" s="16" t="str">
        <f aca="false">IF(E15&gt;=0,"Sim","Não")</f>
        <v>Não</v>
      </c>
    </row>
    <row r="16" customFormat="false" ht="15" hidden="false" customHeight="true" outlineLevel="0" collapsed="false">
      <c r="A16" s="10" t="n">
        <v>5</v>
      </c>
      <c r="B16" s="12" t="n">
        <f aca="false">'Fluxo de Caixa'!G10</f>
        <v>-1025.16</v>
      </c>
      <c r="C16" s="23" t="n">
        <f aca="false">1/(1+$B$7)^A16</f>
        <v>0.9142696387083</v>
      </c>
      <c r="D16" s="12" t="n">
        <f aca="false">B16*C16</f>
        <v>-937.272662818201</v>
      </c>
      <c r="E16" s="13" t="n">
        <f aca="false">E15+D16</f>
        <v>-120186.213841219</v>
      </c>
      <c r="F16" s="16" t="str">
        <f aca="false">IF(E16&gt;=0,"Sim","Não")</f>
        <v>Não</v>
      </c>
    </row>
    <row r="17" customFormat="false" ht="15" hidden="false" customHeight="true" outlineLevel="0" collapsed="false">
      <c r="A17" s="10" t="n">
        <v>6</v>
      </c>
      <c r="B17" s="12" t="n">
        <f aca="false">'Fluxo de Caixa'!G11</f>
        <v>241.670000000002</v>
      </c>
      <c r="C17" s="23" t="n">
        <f aca="false">1/(1+$B$7)^A17</f>
        <v>0.898026510133874</v>
      </c>
      <c r="D17" s="12" t="n">
        <f aca="false">B17*C17</f>
        <v>217.026066704055</v>
      </c>
      <c r="E17" s="13" t="n">
        <f aca="false">E16+D17</f>
        <v>-119969.187774515</v>
      </c>
      <c r="F17" s="16" t="str">
        <f aca="false">IF(E17&gt;=0,"Sim","Não")</f>
        <v>Não</v>
      </c>
    </row>
    <row r="18" customFormat="false" ht="15" hidden="false" customHeight="true" outlineLevel="0" collapsed="false">
      <c r="A18" s="10" t="n">
        <v>7</v>
      </c>
      <c r="B18" s="12" t="n">
        <f aca="false">'Fluxo de Caixa'!G12</f>
        <v>2362.52</v>
      </c>
      <c r="C18" s="23" t="n">
        <f aca="false">1/(1+$B$7)^A18</f>
        <v>0.882071960786752</v>
      </c>
      <c r="D18" s="12" t="n">
        <f aca="false">B18*C18</f>
        <v>2083.91264879791</v>
      </c>
      <c r="E18" s="13" t="n">
        <f aca="false">E17+D18</f>
        <v>-117885.275125717</v>
      </c>
      <c r="F18" s="16" t="str">
        <f aca="false">IF(E18&gt;=0,"Sim","Não")</f>
        <v>Não</v>
      </c>
    </row>
    <row r="19" customFormat="false" ht="15" hidden="false" customHeight="true" outlineLevel="0" collapsed="false">
      <c r="A19" s="10" t="n">
        <v>8</v>
      </c>
      <c r="B19" s="12" t="n">
        <f aca="false">'Fluxo de Caixa'!G13</f>
        <v>3560.09</v>
      </c>
      <c r="C19" s="23" t="n">
        <f aca="false">1/(1+$B$7)^A19</f>
        <v>0.866400863700779</v>
      </c>
      <c r="D19" s="12" t="n">
        <f aca="false">B19*C19</f>
        <v>3084.46505085251</v>
      </c>
      <c r="E19" s="13" t="n">
        <f aca="false">E18+D19</f>
        <v>-114800.810074865</v>
      </c>
      <c r="F19" s="16" t="str">
        <f aca="false">IF(E19&gt;=0,"Sim","Não")</f>
        <v>Não</v>
      </c>
    </row>
    <row r="20" customFormat="false" ht="15" hidden="false" customHeight="true" outlineLevel="0" collapsed="false">
      <c r="A20" s="10" t="n">
        <v>9</v>
      </c>
      <c r="B20" s="12" t="n">
        <f aca="false">'Fluxo de Caixa'!G14</f>
        <v>6798.15</v>
      </c>
      <c r="C20" s="23" t="n">
        <f aca="false">1/(1+$B$7)^A20</f>
        <v>0.851008182996684</v>
      </c>
      <c r="D20" s="12" t="n">
        <f aca="false">B20*C20</f>
        <v>5785.28127923891</v>
      </c>
      <c r="E20" s="13" t="n">
        <f aca="false">E19+D20</f>
        <v>-109015.528795626</v>
      </c>
      <c r="F20" s="16" t="str">
        <f aca="false">IF(E20&gt;=0,"Sim","Não")</f>
        <v>Não</v>
      </c>
    </row>
    <row r="21" customFormat="false" ht="15" hidden="false" customHeight="true" outlineLevel="0" collapsed="false">
      <c r="A21" s="10" t="n">
        <v>10</v>
      </c>
      <c r="B21" s="12" t="n">
        <f aca="false">'Fluxo de Caixa'!G15</f>
        <v>7724.89</v>
      </c>
      <c r="C21" s="23" t="n">
        <f aca="false">1/(1+$B$7)^A21</f>
        <v>0.835888972263805</v>
      </c>
      <c r="D21" s="12" t="n">
        <f aca="false">B21*C21</f>
        <v>6457.15036295095</v>
      </c>
      <c r="E21" s="13" t="n">
        <f aca="false">E20+D21</f>
        <v>-102558.378432675</v>
      </c>
      <c r="F21" s="16" t="str">
        <f aca="false">IF(E21&gt;=0,"Sim","Não")</f>
        <v>Não</v>
      </c>
    </row>
    <row r="22" customFormat="false" ht="15" hidden="false" customHeight="true" outlineLevel="0" collapsed="false">
      <c r="A22" s="10" t="n">
        <v>11</v>
      </c>
      <c r="B22" s="12" t="n">
        <f aca="false">'Fluxo de Caixa'!G16</f>
        <v>10849.27</v>
      </c>
      <c r="C22" s="23" t="n">
        <f aca="false">1/(1+$B$7)^A22</f>
        <v>0.821038372970573</v>
      </c>
      <c r="D22" s="12" t="n">
        <f aca="false">B22*C22</f>
        <v>8907.66698871845</v>
      </c>
      <c r="E22" s="13" t="n">
        <f aca="false">E21+D22</f>
        <v>-93650.7114439562</v>
      </c>
      <c r="F22" s="16" t="str">
        <f aca="false">IF(E22&gt;=0,"Sim","Não")</f>
        <v>Não</v>
      </c>
    </row>
    <row r="23" customFormat="false" ht="15" hidden="false" customHeight="true" outlineLevel="0" collapsed="false">
      <c r="A23" s="10" t="n">
        <v>12</v>
      </c>
      <c r="B23" s="12" t="n">
        <f aca="false">'Fluxo de Caixa'!G17</f>
        <v>11100.35</v>
      </c>
      <c r="C23" s="23" t="n">
        <f aca="false">1/(1+$B$7)^A23</f>
        <v>0.806451612903225</v>
      </c>
      <c r="D23" s="12" t="n">
        <f aca="false">B23*C23</f>
        <v>8951.89516129032</v>
      </c>
      <c r="E23" s="13" t="n">
        <f aca="false">E22+D23</f>
        <v>-84698.8162826659</v>
      </c>
      <c r="F23" s="16" t="str">
        <f aca="false">IF(E23&gt;=0,"Sim","Não")</f>
        <v>Não</v>
      </c>
    </row>
    <row r="24" customFormat="false" ht="15" hidden="false" customHeight="true" outlineLevel="0" collapsed="false">
      <c r="A24" s="10" t="n">
        <v>13</v>
      </c>
      <c r="B24" s="12" t="n">
        <f aca="false">'Fluxo de Caixa'!G18</f>
        <v>15780.9</v>
      </c>
      <c r="C24" s="23" t="n">
        <f aca="false">1/(1+$B$7)^A24</f>
        <v>0.79212400463227</v>
      </c>
      <c r="D24" s="12" t="n">
        <f aca="false">B24*C24</f>
        <v>12500.4297047014</v>
      </c>
      <c r="E24" s="13" t="n">
        <f aca="false">E23+D24</f>
        <v>-72198.3865779645</v>
      </c>
      <c r="F24" s="16" t="str">
        <f aca="false">IF(E24&gt;=0,"Sim","Não")</f>
        <v>Não</v>
      </c>
    </row>
    <row r="25" customFormat="false" ht="15" hidden="false" customHeight="true" outlineLevel="0" collapsed="false">
      <c r="A25" s="10" t="n">
        <v>14</v>
      </c>
      <c r="B25" s="12" t="n">
        <f aca="false">'Fluxo de Caixa'!G19</f>
        <v>17465.18</v>
      </c>
      <c r="C25" s="23" t="n">
        <f aca="false">1/(1+$B$7)^A25</f>
        <v>0.778050944006185</v>
      </c>
      <c r="D25" s="12" t="n">
        <f aca="false">B25*C25</f>
        <v>13588.7997862379</v>
      </c>
      <c r="E25" s="13" t="n">
        <f aca="false">E24+D25</f>
        <v>-58609.5867917266</v>
      </c>
      <c r="F25" s="16" t="str">
        <f aca="false">IF(E25&gt;=0,"Sim","Não")</f>
        <v>Não</v>
      </c>
    </row>
    <row r="26" customFormat="false" ht="15" hidden="false" customHeight="true" outlineLevel="0" collapsed="false">
      <c r="A26" s="10" t="n">
        <v>15</v>
      </c>
      <c r="B26" s="12" t="n">
        <f aca="false">'Fluxo de Caixa'!G20</f>
        <v>20642.15</v>
      </c>
      <c r="C26" s="23" t="n">
        <f aca="false">1/(1+$B$7)^A26</f>
        <v>0.764227908671882</v>
      </c>
      <c r="D26" s="12" t="n">
        <f aca="false">B26*C26</f>
        <v>15775.3071249913</v>
      </c>
      <c r="E26" s="13" t="n">
        <f aca="false">E25+D26</f>
        <v>-42834.2796667353</v>
      </c>
      <c r="F26" s="16" t="str">
        <f aca="false">IF(E26&gt;=0,"Sim","Não")</f>
        <v>Não</v>
      </c>
    </row>
    <row r="27" customFormat="false" ht="15" hidden="false" customHeight="true" outlineLevel="0" collapsed="false">
      <c r="A27" s="10" t="n">
        <v>16</v>
      </c>
      <c r="B27" s="12" t="n">
        <f aca="false">'Fluxo de Caixa'!G21</f>
        <v>23185.27</v>
      </c>
      <c r="C27" s="23" t="n">
        <f aca="false">1/(1+$B$7)^A27</f>
        <v>0.750650456621456</v>
      </c>
      <c r="D27" s="12" t="n">
        <f aca="false">B27*C27</f>
        <v>17404.0335123917</v>
      </c>
      <c r="E27" s="13" t="n">
        <f aca="false">E26+D27</f>
        <v>-25430.2461543436</v>
      </c>
      <c r="F27" s="16" t="str">
        <f aca="false">IF(E27&gt;=0,"Sim","Não")</f>
        <v>Não</v>
      </c>
    </row>
    <row r="28" customFormat="false" ht="15" hidden="false" customHeight="true" outlineLevel="0" collapsed="false">
      <c r="A28" s="10" t="n">
        <v>17</v>
      </c>
      <c r="B28" s="12" t="n">
        <f aca="false">'Fluxo de Caixa'!G22</f>
        <v>25553.52</v>
      </c>
      <c r="C28" s="23" t="n">
        <f aca="false">1/(1+$B$7)^A28</f>
        <v>0.737314224764758</v>
      </c>
      <c r="D28" s="12" t="n">
        <f aca="false">B28*C28</f>
        <v>18840.9737888107</v>
      </c>
      <c r="E28" s="13" t="n">
        <f aca="false">E27+D28</f>
        <v>-6589.27236553283</v>
      </c>
      <c r="F28" s="16" t="str">
        <f aca="false">IF(E28&gt;=0,"Sim","Não")</f>
        <v>Não</v>
      </c>
    </row>
    <row r="29" customFormat="false" ht="15" hidden="false" customHeight="true" outlineLevel="0" collapsed="false">
      <c r="A29" s="10" t="n">
        <v>18</v>
      </c>
      <c r="B29" s="12" t="n">
        <f aca="false">'Fluxo de Caixa'!G23</f>
        <v>28111.92</v>
      </c>
      <c r="C29" s="23" t="n">
        <f aca="false">1/(1+$B$7)^A29</f>
        <v>0.724214927527318</v>
      </c>
      <c r="D29" s="12" t="n">
        <f aca="false">B29*C29</f>
        <v>20359.0721054537</v>
      </c>
      <c r="E29" s="13" t="n">
        <f aca="false">E28+D29</f>
        <v>13769.7997399209</v>
      </c>
      <c r="F29" s="16" t="str">
        <f aca="false">IF(E29&gt;=0,"Sim","Não")</f>
        <v>Sim</v>
      </c>
    </row>
    <row r="30" customFormat="false" ht="15" hidden="false" customHeight="true" outlineLevel="0" collapsed="false">
      <c r="A30" s="10" t="n">
        <v>19</v>
      </c>
      <c r="B30" s="12" t="n">
        <f aca="false">'Fluxo de Caixa'!G24</f>
        <v>31456.01</v>
      </c>
      <c r="C30" s="23" t="n">
        <f aca="false">1/(1+$B$7)^A30</f>
        <v>0.711348355473187</v>
      </c>
      <c r="D30" s="12" t="n">
        <f aca="false">B30*C30</f>
        <v>22376.1809832481</v>
      </c>
      <c r="E30" s="13" t="n">
        <f aca="false">E29+D30</f>
        <v>36145.980723169</v>
      </c>
      <c r="F30" s="16" t="str">
        <f aca="false">IF(E30&gt;=0,"Sim","Não")</f>
        <v>Sim</v>
      </c>
    </row>
    <row r="31" customFormat="false" ht="15" hidden="false" customHeight="true" outlineLevel="0" collapsed="false">
      <c r="A31" s="10" t="n">
        <v>20</v>
      </c>
      <c r="B31" s="12" t="n">
        <f aca="false">'Fluxo de Caixa'!G25</f>
        <v>34040.97</v>
      </c>
      <c r="C31" s="23" t="n">
        <f aca="false">1/(1+$B$7)^A31</f>
        <v>0.698710373952241</v>
      </c>
      <c r="D31" s="12" t="n">
        <f aca="false">B31*C31</f>
        <v>23784.778878397</v>
      </c>
      <c r="E31" s="13" t="n">
        <f aca="false">E30+D31</f>
        <v>59930.759601566</v>
      </c>
      <c r="F31" s="16" t="str">
        <f aca="false">IF(E31&gt;=0,"Sim","Não")</f>
        <v>Sim</v>
      </c>
    </row>
    <row r="32" customFormat="false" ht="15" hidden="false" customHeight="true" outlineLevel="0" collapsed="false">
      <c r="A32" s="10" t="n">
        <v>21</v>
      </c>
      <c r="B32" s="12" t="n">
        <f aca="false">'Fluxo de Caixa'!G26</f>
        <v>36654.58</v>
      </c>
      <c r="C32" s="23" t="n">
        <f aca="false">1/(1+$B$7)^A32</f>
        <v>0.686296921771519</v>
      </c>
      <c r="D32" s="12" t="n">
        <f aca="false">B32*C32</f>
        <v>25155.9254228279</v>
      </c>
      <c r="E32" s="13" t="n">
        <f aca="false">E31+D32</f>
        <v>85086.6850243939</v>
      </c>
      <c r="F32" s="16" t="str">
        <f aca="false">IF(E32&gt;=0,"Sim","Não")</f>
        <v>Sim</v>
      </c>
    </row>
    <row r="33" customFormat="false" ht="15" hidden="false" customHeight="true" outlineLevel="0" collapsed="false">
      <c r="A33" s="10" t="n">
        <v>22</v>
      </c>
      <c r="B33" s="12" t="n">
        <f aca="false">'Fluxo de Caixa'!G27</f>
        <v>38598.09</v>
      </c>
      <c r="C33" s="23" t="n">
        <f aca="false">1/(1+$B$7)^A33</f>
        <v>0.674104009890165</v>
      </c>
      <c r="D33" s="12" t="n">
        <f aca="false">B33*C33</f>
        <v>26019.1272431015</v>
      </c>
      <c r="E33" s="13" t="n">
        <f aca="false">E32+D33</f>
        <v>111105.812267495</v>
      </c>
      <c r="F33" s="16" t="str">
        <f aca="false">IF(E33&gt;=0,"Sim","Não")</f>
        <v>Sim</v>
      </c>
    </row>
    <row r="34" customFormat="false" ht="15" hidden="false" customHeight="true" outlineLevel="0" collapsed="false">
      <c r="A34" s="10" t="n">
        <v>23</v>
      </c>
      <c r="B34" s="12" t="n">
        <f aca="false">'Fluxo de Caixa'!G28</f>
        <v>42257.81</v>
      </c>
      <c r="C34" s="23" t="n">
        <f aca="false">1/(1+$B$7)^A34</f>
        <v>0.662127720137558</v>
      </c>
      <c r="D34" s="12" t="n">
        <f aca="false">B34*C34</f>
        <v>27980.0673933061</v>
      </c>
      <c r="E34" s="13" t="n">
        <f aca="false">E33+D34</f>
        <v>139085.879660802</v>
      </c>
      <c r="F34" s="16" t="str">
        <f aca="false">IF(E34&gt;=0,"Sim","Não")</f>
        <v>Sim</v>
      </c>
    </row>
    <row r="35" customFormat="false" ht="15" hidden="false" customHeight="true" outlineLevel="0" collapsed="false">
      <c r="A35" s="10" t="n">
        <v>24</v>
      </c>
      <c r="B35" s="12" t="n">
        <f aca="false">'Fluxo de Caixa'!G29</f>
        <v>44235.79</v>
      </c>
      <c r="C35" s="23" t="n">
        <f aca="false">1/(1+$B$7)^A35</f>
        <v>0.650364203954214</v>
      </c>
      <c r="D35" s="12" t="n">
        <f aca="false">B35*C35</f>
        <v>28769.3743496358</v>
      </c>
      <c r="E35" s="13" t="n">
        <f aca="false">E34+D35</f>
        <v>167855.254010437</v>
      </c>
      <c r="F35" s="16" t="str">
        <f aca="false">IF(E35&gt;=0,"Sim","Não")</f>
        <v>Sim</v>
      </c>
    </row>
    <row r="37" customFormat="false" ht="15" hidden="false" customHeight="true" outlineLevel="0" collapsed="false">
      <c r="A37" s="4" t="s">
        <v>64</v>
      </c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3" t="s">
        <v>65</v>
      </c>
      <c r="B38" s="24" t="n">
        <f aca="false">SUM(D11:D35)</f>
        <v>167855.254010437</v>
      </c>
      <c r="C38" s="25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66</v>
      </c>
      <c r="B39" s="26" t="n">
        <f aca="false">IFERROR(IRR(B11:B35),"Não calculável")</f>
        <v>0.0704388471707102</v>
      </c>
      <c r="C39" s="25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67</v>
      </c>
      <c r="B40" s="26" t="n">
        <f aca="false">IF(ISNUMBER(B39),IF(B6="Mensal",(1+B39)^12-1,B39),"Não calculável")</f>
        <v>1.26330112699677</v>
      </c>
      <c r="C40" s="25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68</v>
      </c>
      <c r="B41" s="24" t="n">
        <f aca="false">'Fluxo de Caixa'!F5</f>
        <v>102000</v>
      </c>
      <c r="C41" s="25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69</v>
      </c>
      <c r="B42" s="26" t="n">
        <f aca="false">IF(B41=0,"-",B38/B41)</f>
        <v>1.64563974520037</v>
      </c>
      <c r="C42" s="25" t="str">
        <f aca="false">"Para cada R$ 100 de investimento inicial, o projeto gera R$ "&amp;IF(ISNUMBER(B42),ROUND(B42*100,2),"-")&amp;" de VPL acima da taxa exigida"</f>
        <v>Para cada R$ 100 de investimento inicial, o projeto gera R$ 164.56 de VPL acima da taxa exigida</v>
      </c>
    </row>
    <row r="43" customFormat="false" ht="15" hidden="false" customHeight="true" outlineLevel="0" collapsed="false">
      <c r="A43" s="3" t="s">
        <v>46</v>
      </c>
      <c r="B43" s="27" t="n">
        <f aca="false">'Necessidade de Caixa e Payback'!F33</f>
        <v>17</v>
      </c>
      <c r="C43" s="25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70</v>
      </c>
      <c r="B44" s="27" t="n">
        <f aca="false">IFERROR(INDEX(A11:A35,MATCH("Sim",F11:F35,0)),"Não recupera")</f>
        <v>18</v>
      </c>
      <c r="C44" s="25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71</v>
      </c>
      <c r="B45" s="24" t="n">
        <f aca="false">'Necessidade de Caixa e Payback'!F32</f>
        <v>120917.63</v>
      </c>
      <c r="C45" s="25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72</v>
      </c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28" t="s">
        <v>73</v>
      </c>
    </row>
    <row r="49" customFormat="false" ht="15" hidden="false" customHeight="true" outlineLevel="0" collapsed="false">
      <c r="A49" s="28" t="s">
        <v>74</v>
      </c>
    </row>
    <row r="50" customFormat="false" ht="15" hidden="false" customHeight="true" outlineLevel="0" collapsed="false">
      <c r="A50" s="28" t="s">
        <v>75</v>
      </c>
    </row>
    <row r="51" customFormat="false" ht="15" hidden="false" customHeight="true" outlineLevel="0" collapsed="false">
      <c r="A51" s="28" t="s">
        <v>76</v>
      </c>
    </row>
    <row r="52" customFormat="false" ht="15" hidden="false" customHeight="true" outlineLevel="0" collapsed="false">
      <c r="A52" s="28" t="s">
        <v>77</v>
      </c>
    </row>
    <row r="53" customFormat="false" ht="15" hidden="false" customHeight="true" outlineLevel="0" collapsed="false">
      <c r="A53" s="28" t="s">
        <v>78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2026-10-07T12:16:06Z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