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Fluxo de Caixa" sheetId="2" state="visible" r:id="rId4"/>
    <sheet name="Necessidade de Caixa e Payback" sheetId="3" state="visible" r:id="rId5"/>
    <sheet name="VPL e TI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Receita total do período: preço de venda × quantidade vendida.</t>
        </r>
      </text>
    </comment>
    <comment ref="C4" authorId="0">
      <text>
        <r>
          <rPr>
            <sz val="10"/>
            <rFont val="Arial"/>
            <family val="2"/>
          </rPr>
          <t xml:space="preserve">Custos que aumentam quando as vendas aumentam: matéria-prima, embalagem, comissões, impostos sobre a venda, taxas de cartão.</t>
        </r>
      </text>
    </comment>
    <comment ref="D4" authorId="0">
      <text>
        <r>
          <rPr>
            <sz val="10"/>
            <rFont val="Arial"/>
            <family val="2"/>
          </rPr>
          <t xml:space="preserve">Custos que existem mesmo sem vender: aluguel, salários, pró-labore, internet, contador.</t>
        </r>
      </text>
    </comment>
    <comment ref="E4" authorId="0">
      <text>
        <r>
          <rPr>
            <sz val="10"/>
            <rFont val="Arial"/>
            <family val="2"/>
          </rPr>
          <t xml:space="preserve">Automático: Vendas − Despesas variáveis − Despesas fixas. Mostra se a operação do mês dá lucro ou prejuízo.</t>
        </r>
      </text>
    </comment>
    <comment ref="F4" authorId="0">
      <text>
        <r>
          <rPr>
            <sz val="10"/>
            <rFont val="Arial"/>
            <family val="2"/>
          </rPr>
          <t xml:space="preserve">Gastos para montar ou ampliar o negócio. O investimento inicial vai no período 0. Novos investimentos podem entrar em qualquer período.</t>
        </r>
      </text>
    </comment>
    <comment ref="G4" authorId="0">
      <text>
        <r>
          <rPr>
            <sz val="10"/>
            <rFont val="Arial"/>
            <family val="2"/>
          </rPr>
          <t xml:space="preserve">Automático: Resultado operacional − Investimentos. É o valor usado no VPL e na TIR.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Copiado da aba Fluxo de Caixa.</t>
        </r>
      </text>
    </comment>
    <comment ref="G4" authorId="0">
      <text>
        <r>
          <rPr>
            <sz val="10"/>
            <rFont val="Arial"/>
            <family val="2"/>
          </rPr>
          <t xml:space="preserve">Soma de todos os fluxos até este período. Negativo = os sócios ainda estão bancando o negócio.</t>
        </r>
      </text>
    </comment>
    <comment ref="H4" authorId="0">
      <text>
        <r>
          <rPr>
            <sz val="10"/>
            <rFont val="Arial"/>
            <family val="2"/>
          </rPr>
          <t xml:space="preserve">"Sim" a partir do período em que o saldo acumulado fica ≥ 0.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Copiado da coluna Fluxo de Caixa Líquido.</t>
        </r>
      </text>
    </comment>
    <comment ref="C10" authorId="0">
      <text>
        <r>
          <rPr>
            <sz val="10"/>
            <rFont val="Arial"/>
            <family val="2"/>
          </rPr>
          <t xml:space="preserve">1 / (1 + taxa por período)^período. Quanto R$ 1 recebido neste período vale hoje.</t>
        </r>
      </text>
    </comment>
    <comment ref="D10" authorId="0">
      <text>
        <r>
          <rPr>
            <sz val="10"/>
            <rFont val="Arial"/>
            <family val="2"/>
          </rPr>
          <t xml:space="preserve">Fluxo × Fator de desconto: o valor do fluxo em dinheiro de hoje.</t>
        </r>
      </text>
    </comment>
    <comment ref="E10" authorId="0">
      <text>
        <r>
          <rPr>
            <sz val="10"/>
            <rFont val="Arial"/>
            <family val="2"/>
          </rPr>
          <t xml:space="preserve">Soma dos valores presentes até o período. Quando fica ≥ 0, o investimento foi recuperado já considerando a taxa.</t>
        </r>
      </text>
    </comment>
    <comment ref="F10" authorId="0">
      <text>
        <r>
          <rPr>
            <sz val="10"/>
            <rFont val="Arial"/>
            <family val="2"/>
          </rPr>
          <t xml:space="preserve">"Sim" a partir do período em que o VP acumulado fica ≥ 0.</t>
        </r>
      </text>
    </comment>
  </commentList>
</comments>
</file>

<file path=xl/sharedStrings.xml><?xml version="1.0" encoding="utf-8"?>
<sst xmlns="http://schemas.openxmlformats.org/spreadsheetml/2006/main" count="87" uniqueCount="79">
  <si>
    <t xml:space="preserve">PLANILHA DE ANÁLISE FINANCEIRA – VPL, TIR E PAYBACK</t>
  </si>
  <si>
    <t xml:space="preserve">Viabilidade de projetos empreendedores – Projetos Empreendedores, Mackenzie</t>
  </si>
  <si>
    <t xml:space="preserve">PASSO A PASSO</t>
  </si>
  <si>
    <t xml:space="preserve">1. Aba Fluxo de Caixa: preencha SÓ as células CINZAS (vendas, despesas e investimentos de cada período).</t>
  </si>
  <si>
    <t xml:space="preserve">2. Período 0 = hoje, antes de começar a vender. Coloque ali o investimento inicial (equipamentos, reforma, abertura da empresa etc.).</t>
  </si>
  <si>
    <t xml:space="preserve">3. Períodos 1 a 24 = meses (ou anos) de operação. Se o projeto durar menos, deixe os períodos restantes em branco.</t>
  </si>
  <si>
    <t xml:space="preserve">4. Aba VPL e TIR: informe a taxa de desconto ANUAL e se os períodos são meses ou anos. A planilha converte a taxa sozinha.</t>
  </si>
  <si>
    <t xml:space="preserve">5. Leia os resultados (VPL, TIR, payback) e a frase de decisão. Células AZUIS são automáticas e estão protegidas.</t>
  </si>
  <si>
    <t xml:space="preserve">LEGENDA DE CORES</t>
  </si>
  <si>
    <t xml:space="preserve">Cinza = você preenche   |   Azul = cálculo automático   |   Amarelo = resultado principal   |   Verde/vermelho = viável/inviável</t>
  </si>
  <si>
    <t xml:space="preserve">Passe o mouse sobre os títulos das colunas para ver a explicação de cada uma.</t>
  </si>
  <si>
    <t xml:space="preserve">GLOSSÁRIO</t>
  </si>
  <si>
    <t xml:space="preserve">Vendas brutas: tudo o que entra com a venda dos produtos/serviços no período (preço × quantidade).</t>
  </si>
  <si>
    <t xml:space="preserve">Despesas variáveis: custos que crescem com as vendas (matéria-prima, embalagem, comissão, impostos sobre a venda, taxa de cartão).</t>
  </si>
  <si>
    <t xml:space="preserve">Despesas fixas: custos que existem mesmo sem vender (aluguel, salários, internet, contador, pró-labore).</t>
  </si>
  <si>
    <t xml:space="preserve">Investimento: gasto para montar ou ampliar o negócio (máquinas, reforma, estoque inicial, capital de giro inicial).</t>
  </si>
  <si>
    <t xml:space="preserve">Fluxo de caixa líquido: Vendas − Despesas variáveis − Despesas fixas − Investimento. É o dinheiro que sobra (ou falta) no período.</t>
  </si>
  <si>
    <t xml:space="preserve">Taxa de desconto (TMA): retorno mínimo que vocês exigem do projeto. Referência prática: rendimento de uma aplicação segura (ex.: Selic/CDI) + um prêmio pelo risco.</t>
  </si>
  <si>
    <t xml:space="preserve">VPL (Valor Presente Líquido): soma de todos os fluxos trazidos para o valor de hoje. VPL &gt; 0 → o projeto rende mais que a taxa exigida → VIÁVEL.</t>
  </si>
  <si>
    <t xml:space="preserve">TIR (Taxa Interna de Retorno): a taxa que zera o VPL. TIR &gt; taxa de desconto → VIÁVEL. Só existe se o fluxo tiver valores negativos e positivos.</t>
  </si>
  <si>
    <t xml:space="preserve">Payback simples: primeiro período (mês ou ano inteiro) em que o saldo acumulado deixa de ser negativo — o investimento foi recuperado.</t>
  </si>
  <si>
    <t xml:space="preserve">Payback descontado: o mesmo, mas usando os valores já descontados pela taxa. É mais rigoroso e sempre igual ou maior que o simples.</t>
  </si>
  <si>
    <t xml:space="preserve">Necessidade máxima de caixa: o pior saldo acumulado. É quanto dinheiro os sócios precisam ter disponível para o negócio não quebrar.</t>
  </si>
  <si>
    <t xml:space="preserve">CUIDADOS</t>
  </si>
  <si>
    <t xml:space="preserve">• A taxa deve ser coerente com o período: fluxo mensal usa taxa mensal. Por isso você digita a taxa anual e a planilha converte.</t>
  </si>
  <si>
    <t xml:space="preserve">• Use valores realistas e justifique de onde vieram (pesquisa de preço, orçamento de fornecedor, dados de mercado).</t>
  </si>
  <si>
    <t xml:space="preserve">• Teste cenários: pessimista, provável e otimista. Salve uma cópia do arquivo para cada cenário.</t>
  </si>
  <si>
    <t xml:space="preserve">• Os valores que já vêm na planilha são apenas EXEMPLO. Substitua pelos dados do seu projeto.</t>
  </si>
  <si>
    <t xml:space="preserve">FLUXO DE CAIXA DETALHADO</t>
  </si>
  <si>
    <t xml:space="preserve">Preencha as células CINZAS. As AZUIS são calculadas. Período 0 = investimento inicial; períodos 1 a 24 = operação.</t>
  </si>
  <si>
    <t xml:space="preserve">Período</t>
  </si>
  <si>
    <t xml:space="preserve">Vendas Brutas (R$)</t>
  </si>
  <si>
    <t xml:space="preserve">Despesas Variáveis (R$)</t>
  </si>
  <si>
    <t xml:space="preserve">Despesas Fixas (R$)</t>
  </si>
  <si>
    <t xml:space="preserve">Resultado Operacional (R$)</t>
  </si>
  <si>
    <t xml:space="preserve">Investimentos (R$)</t>
  </si>
  <si>
    <t xml:space="preserve">Fluxo de Caixa Líquido (R$)</t>
  </si>
  <si>
    <t xml:space="preserve">TOTAL</t>
  </si>
  <si>
    <t xml:space="preserve">Valores atuais são EXEMPLO (investimento de R$ 50.000 e lucro operacional de R$ 4.000/mês). Substitua pelos dados do seu projeto.</t>
  </si>
  <si>
    <t xml:space="preserve">SALDO ACUMULADO, NECESSIDADE DE CAIXA E PAYBACK</t>
  </si>
  <si>
    <t xml:space="preserve">Aba 100% automática. Mostra quanto dinheiro o projeto acumula (ou consome) ao longo do tempo.</t>
  </si>
  <si>
    <t xml:space="preserve">Saldo Acumulado (R$)</t>
  </si>
  <si>
    <t xml:space="preserve">Investimento recuperado?</t>
  </si>
  <si>
    <t xml:space="preserve">RESUMO</t>
  </si>
  <si>
    <t xml:space="preserve">Necessidade máxima de caixa (R$):</t>
  </si>
  <si>
    <t xml:space="preserve">← pior saldo: dinheiro que os sócios precisam ter</t>
  </si>
  <si>
    <t xml:space="preserve">Payback simples (1º período com saldo ≥ 0):</t>
  </si>
  <si>
    <t xml:space="preserve">← 1º período com saldo acumulado ≥ 0</t>
  </si>
  <si>
    <t xml:space="preserve">ANÁLISE DE VIABILIDADE FINANCEIRA</t>
  </si>
  <si>
    <t xml:space="preserve">Preencha as duas células CINZAS abaixo. Todo o resto é calculado a partir da aba Fluxo de Caixa.</t>
  </si>
  <si>
    <t xml:space="preserve">1. PARÂMETROS</t>
  </si>
  <si>
    <t xml:space="preserve">Taxa de desconto ANUAL (TMA):</t>
  </si>
  <si>
    <t xml:space="preserve">Digite com o símbolo %: 15% (ou 0,15) para 15% ao ano. Exemplo usado: 15% a.a. (troque pela taxa do grupo).</t>
  </si>
  <si>
    <t xml:space="preserve">Os períodos da planilha são:</t>
  </si>
  <si>
    <t xml:space="preserve">Mensal</t>
  </si>
  <si>
    <t xml:space="preserve">Escolha na lista: Mensal ou Anual.</t>
  </si>
  <si>
    <t xml:space="preserve">Taxa de desconto por período:</t>
  </si>
  <si>
    <t xml:space="preserve">Automático. Taxa mensal equivalente: (1 + taxa anual)^(1/12) − 1.</t>
  </si>
  <si>
    <t xml:space="preserve">2. FLUXO DE CAIXA TRAZIDO A VALOR PRESENTE</t>
  </si>
  <si>
    <t xml:space="preserve">Fluxo de Caixa (R$)</t>
  </si>
  <si>
    <t xml:space="preserve">Fator de Desconto</t>
  </si>
  <si>
    <t xml:space="preserve">Valor Presente (R$)</t>
  </si>
  <si>
    <t xml:space="preserve">VP Acumulado (R$)</t>
  </si>
  <si>
    <t xml:space="preserve">Recuperado (descontado)?</t>
  </si>
  <si>
    <t xml:space="preserve">3. RESULTADOS</t>
  </si>
  <si>
    <t xml:space="preserve">Valor Presente Líquido (VPL):</t>
  </si>
  <si>
    <t xml:space="preserve">TIR por período:</t>
  </si>
  <si>
    <t xml:space="preserve">TIR equivalente ao ano:</t>
  </si>
  <si>
    <t xml:space="preserve">Investimento inicial (período 0):</t>
  </si>
  <si>
    <t xml:space="preserve">VPL em % do investimento inicial:</t>
  </si>
  <si>
    <t xml:space="preserve">Payback descontado (1º período com VP acum. ≥ 0):</t>
  </si>
  <si>
    <t xml:space="preserve">Necessidade máxima de caixa:</t>
  </si>
  <si>
    <t xml:space="preserve">4. COMO LER OS RESULTADOS</t>
  </si>
  <si>
    <t xml:space="preserve">• VPL &gt; 0 → viável: o projeto devolve o investimento, paga a taxa exigida e ainda gera o valor mostrado (em R$ de hoje).</t>
  </si>
  <si>
    <t xml:space="preserve">• VPL &lt; 0 → inviável nas premissas atuais: revise preço, volume, custos ou investimento e teste novos cenários.</t>
  </si>
  <si>
    <t xml:space="preserve">• TIR &gt; taxa de desconto → viável. VPL e TIR normalmente apontam a mesma decisão; se divergirem, prefira o VPL.</t>
  </si>
  <si>
    <t xml:space="preserve">• Cuidado com a TIR quando o fluxo muda de sinal mais de uma vez (ex.: novo investimento no meio do projeto): ela pode ser enganosa. Nesse caso, decida pelo VPL.</t>
  </si>
  <si>
    <t xml:space="preserve">• Payback: quanto menor, mais rápido o dinheiro volta e menor o risco. O descontado é o mais rigoroso.</t>
  </si>
  <si>
    <t xml:space="preserve">• Necessidade máxima de caixa: os sócios precisam ter esse valor disponível (investimento + prejuízos iniciais).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</si>
</sst>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&quot;R$ &quot;#,##0.00;[RED]&quot;-R$ &quot;#,##0.00;\-"/>
    <numFmt numFmtId="167" formatCode="@"/>
    <numFmt numFmtId="168" formatCode="0.00%"/>
    <numFmt numFmtId="169" formatCode="0.000%"/>
    <numFmt numFmtId="170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sz val="10"/>
      <name val="Arial"/>
      <family val="2"/>
    </font>
    <font>
      <i val="true"/>
      <sz val="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5"/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5"/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5" t="s">
        <v>13</v>
      </c>
    </row>
    <row r="18" customFormat="false" ht="1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5" t="s">
        <v>15</v>
      </c>
    </row>
    <row r="20" customFormat="false" ht="15" hidden="false" customHeight="true" outlineLevel="0" collapsed="false">
      <c r="A20" s="5" t="s">
        <v>16</v>
      </c>
    </row>
    <row r="21" customFormat="false" ht="23.25" hidden="false" customHeight="true" outlineLevel="0" collapsed="false">
      <c r="A21" s="5" t="s">
        <v>17</v>
      </c>
    </row>
    <row r="22" customFormat="false" ht="15" hidden="false" customHeight="true" outlineLevel="0" collapsed="false">
      <c r="A22" s="5" t="s">
        <v>18</v>
      </c>
    </row>
    <row r="23" customFormat="false" ht="15" hidden="false" customHeight="true" outlineLevel="0" collapsed="false">
      <c r="A23" s="5" t="s">
        <v>19</v>
      </c>
    </row>
    <row r="24" customFormat="false" ht="15" hidden="false" customHeight="true" outlineLevel="0" collapsed="false">
      <c r="A24" s="5" t="s">
        <v>20</v>
      </c>
    </row>
    <row r="25" customFormat="false" ht="15" hidden="false" customHeight="true" outlineLevel="0" collapsed="false">
      <c r="A25" s="5" t="s">
        <v>21</v>
      </c>
    </row>
    <row r="26" customFormat="false" ht="15" hidden="false" customHeight="true" outlineLevel="0" collapsed="false">
      <c r="A26" s="5" t="s">
        <v>22</v>
      </c>
    </row>
    <row r="27" customFormat="false" ht="15" hidden="false" customHeight="true" outlineLevel="0" collapsed="false">
      <c r="A27" s="5"/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5" t="s">
        <v>24</v>
      </c>
    </row>
    <row r="30" customFormat="false" ht="15" hidden="false" customHeight="true" outlineLevel="0" collapsed="false">
      <c r="A30" s="5" t="s">
        <v>25</v>
      </c>
    </row>
    <row r="31" customFormat="false" ht="15" hidden="false" customHeight="true" outlineLevel="0" collapsed="false">
      <c r="A31" s="5" t="s">
        <v>26</v>
      </c>
    </row>
    <row r="32" customFormat="false" ht="15" hidden="false" customHeight="true" outlineLevel="0" collapsed="false">
      <c r="A32" s="5" t="s">
        <v>27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6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6" t="s">
        <v>28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A2" s="8" t="s">
        <v>29</v>
      </c>
    </row>
    <row r="4" customFormat="false" ht="31.5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</row>
    <row r="5" customFormat="false" ht="15" hidden="false" customHeight="true" outlineLevel="0" collapsed="false">
      <c r="A5" s="10" t="n">
        <v>0</v>
      </c>
      <c r="B5" s="11" t="n">
        <v>0</v>
      </c>
      <c r="C5" s="11" t="n">
        <v>0</v>
      </c>
      <c r="D5" s="11" t="n">
        <v>0</v>
      </c>
      <c r="E5" s="12" t="n">
        <f aca="false">B5-C5-D5</f>
        <v>0</v>
      </c>
      <c r="F5" s="11" t="n">
        <v>102000</v>
      </c>
      <c r="G5" s="13" t="n">
        <f aca="false">E5-F5</f>
        <v>-102000</v>
      </c>
    </row>
    <row r="6" customFormat="false" ht="15" hidden="false" customHeight="true" outlineLevel="0" collapsed="false">
      <c r="A6" s="10" t="n">
        <v>1</v>
      </c>
      <c r="B6" s="11" t="n">
        <v>5988</v>
      </c>
      <c r="C6" s="11" t="n">
        <v>4767.9</v>
      </c>
      <c r="D6" s="11" t="n">
        <v>12000</v>
      </c>
      <c r="E6" s="12" t="n">
        <f aca="false">B6-C6-D6</f>
        <v>-10779.9</v>
      </c>
      <c r="F6" s="11" t="n">
        <v>0</v>
      </c>
      <c r="G6" s="13" t="n">
        <f aca="false">E6-F6</f>
        <v>-10779.9</v>
      </c>
    </row>
    <row r="7" customFormat="false" ht="15" hidden="false" customHeight="true" outlineLevel="0" collapsed="false">
      <c r="A7" s="10" t="n">
        <v>2</v>
      </c>
      <c r="B7" s="11" t="n">
        <v>15968</v>
      </c>
      <c r="C7" s="11" t="n">
        <v>9714.4</v>
      </c>
      <c r="D7" s="11" t="n">
        <v>12000</v>
      </c>
      <c r="E7" s="12" t="n">
        <f aca="false">B7-C7-D7</f>
        <v>-5746.4</v>
      </c>
      <c r="F7" s="11" t="n">
        <v>0</v>
      </c>
      <c r="G7" s="13" t="n">
        <f aca="false">E7-F7</f>
        <v>-5746.4</v>
      </c>
    </row>
    <row r="8" customFormat="false" ht="15" hidden="false" customHeight="true" outlineLevel="0" collapsed="false">
      <c r="A8" s="10" t="n">
        <v>3</v>
      </c>
      <c r="B8" s="11" t="n">
        <v>29940</v>
      </c>
      <c r="C8" s="11" t="n">
        <v>15839.5</v>
      </c>
      <c r="D8" s="11" t="n">
        <v>12000</v>
      </c>
      <c r="E8" s="12" t="n">
        <f aca="false">B8-C8-D8</f>
        <v>2100.5</v>
      </c>
      <c r="F8" s="11" t="n">
        <v>0</v>
      </c>
      <c r="G8" s="13" t="n">
        <f aca="false">E8-F8</f>
        <v>2100.5</v>
      </c>
    </row>
    <row r="9" customFormat="false" ht="15" hidden="false" customHeight="true" outlineLevel="0" collapsed="false">
      <c r="A9" s="10" t="n">
        <v>4</v>
      </c>
      <c r="B9" s="11" t="n">
        <v>57901</v>
      </c>
      <c r="C9" s="11" t="n">
        <v>30923.82</v>
      </c>
      <c r="D9" s="11" t="n">
        <v>26185.75</v>
      </c>
      <c r="E9" s="12" t="n">
        <f aca="false">B9-C9-D9</f>
        <v>791.43</v>
      </c>
      <c r="F9" s="11" t="n">
        <v>0</v>
      </c>
      <c r="G9" s="13" t="n">
        <f aca="false">E9-F9</f>
        <v>791.43</v>
      </c>
    </row>
    <row r="10" customFormat="false" ht="15" hidden="false" customHeight="true" outlineLevel="0" collapsed="false">
      <c r="A10" s="10" t="n">
        <v>5</v>
      </c>
      <c r="B10" s="11" t="n">
        <v>77861</v>
      </c>
      <c r="C10" s="11" t="n">
        <v>38507.3</v>
      </c>
      <c r="D10" s="11" t="n">
        <v>31075.95</v>
      </c>
      <c r="E10" s="12" t="n">
        <f aca="false">B10-C10-D10</f>
        <v>8277.75</v>
      </c>
      <c r="F10" s="11" t="n">
        <v>0</v>
      </c>
      <c r="G10" s="13" t="n">
        <f aca="false">E10-F10</f>
        <v>8277.75</v>
      </c>
    </row>
    <row r="11" customFormat="false" ht="15" hidden="false" customHeight="true" outlineLevel="0" collapsed="false">
      <c r="A11" s="10" t="n">
        <v>6</v>
      </c>
      <c r="B11" s="11" t="n">
        <v>125822</v>
      </c>
      <c r="C11" s="11" t="n">
        <v>63883.58</v>
      </c>
      <c r="D11" s="11" t="n">
        <v>42826.39</v>
      </c>
      <c r="E11" s="12" t="n">
        <f aca="false">B11-C11-D11</f>
        <v>19112.03</v>
      </c>
      <c r="F11" s="11" t="n">
        <v>0</v>
      </c>
      <c r="G11" s="13" t="n">
        <f aca="false">E11-F11</f>
        <v>19112.03</v>
      </c>
    </row>
    <row r="12" customFormat="false" ht="15" hidden="false" customHeight="true" outlineLevel="0" collapsed="false">
      <c r="A12" s="10" t="n">
        <v>7</v>
      </c>
      <c r="B12" s="11" t="n">
        <v>117781</v>
      </c>
      <c r="C12" s="11" t="n">
        <v>53501.9</v>
      </c>
      <c r="D12" s="11" t="n">
        <v>40856.35</v>
      </c>
      <c r="E12" s="12" t="n">
        <f aca="false">B12-C12-D12</f>
        <v>23422.75</v>
      </c>
      <c r="F12" s="11" t="n">
        <v>0</v>
      </c>
      <c r="G12" s="13" t="n">
        <f aca="false">E12-F12</f>
        <v>23422.75</v>
      </c>
    </row>
    <row r="13" customFormat="false" ht="15" hidden="false" customHeight="true" outlineLevel="0" collapsed="false">
      <c r="A13" s="10" t="n">
        <v>8</v>
      </c>
      <c r="B13" s="11" t="n">
        <v>165742</v>
      </c>
      <c r="C13" s="11" t="n">
        <v>79095.96</v>
      </c>
      <c r="D13" s="11" t="n">
        <v>52606.79</v>
      </c>
      <c r="E13" s="12" t="n">
        <f aca="false">B13-C13-D13</f>
        <v>34039.25</v>
      </c>
      <c r="F13" s="11" t="n">
        <v>0</v>
      </c>
      <c r="G13" s="13" t="n">
        <f aca="false">E13-F13</f>
        <v>34039.25</v>
      </c>
    </row>
    <row r="14" customFormat="false" ht="15" hidden="false" customHeight="true" outlineLevel="0" collapsed="false">
      <c r="A14" s="10" t="n">
        <v>9</v>
      </c>
      <c r="B14" s="11" t="n">
        <v>167698</v>
      </c>
      <c r="C14" s="11" t="n">
        <v>75207.39</v>
      </c>
      <c r="D14" s="11" t="n">
        <v>53086.01</v>
      </c>
      <c r="E14" s="12" t="n">
        <f aca="false">B14-C14-D14</f>
        <v>39404.6</v>
      </c>
      <c r="F14" s="11" t="n">
        <v>0</v>
      </c>
      <c r="G14" s="13" t="n">
        <f aca="false">E14-F14</f>
        <v>39404.6</v>
      </c>
    </row>
    <row r="15" customFormat="false" ht="15" hidden="false" customHeight="true" outlineLevel="0" collapsed="false">
      <c r="A15" s="10" t="n">
        <v>10</v>
      </c>
      <c r="B15" s="11" t="n">
        <v>209654</v>
      </c>
      <c r="C15" s="11" t="n">
        <v>95573.59</v>
      </c>
      <c r="D15" s="11" t="n">
        <v>63365.23</v>
      </c>
      <c r="E15" s="12" t="n">
        <f aca="false">B15-C15-D15</f>
        <v>50715.18</v>
      </c>
      <c r="F15" s="11" t="n">
        <v>0</v>
      </c>
      <c r="G15" s="13" t="n">
        <f aca="false">E15-F15</f>
        <v>50715.18</v>
      </c>
    </row>
    <row r="16" customFormat="false" ht="15" hidden="false" customHeight="true" outlineLevel="0" collapsed="false">
      <c r="A16" s="10" t="n">
        <v>11</v>
      </c>
      <c r="B16" s="11" t="n">
        <v>211610</v>
      </c>
      <c r="C16" s="11" t="n">
        <v>91475.04</v>
      </c>
      <c r="D16" s="11" t="n">
        <v>63844.45</v>
      </c>
      <c r="E16" s="12" t="n">
        <f aca="false">B16-C16-D16</f>
        <v>56290.51</v>
      </c>
      <c r="F16" s="11" t="n">
        <v>0</v>
      </c>
      <c r="G16" s="13" t="n">
        <f aca="false">E16-F16</f>
        <v>56290.51</v>
      </c>
    </row>
    <row r="17" customFormat="false" ht="15" hidden="false" customHeight="true" outlineLevel="0" collapsed="false">
      <c r="A17" s="10" t="n">
        <v>12</v>
      </c>
      <c r="B17" s="11" t="n">
        <v>255562</v>
      </c>
      <c r="C17" s="11" t="n">
        <v>113561.27</v>
      </c>
      <c r="D17" s="11" t="n">
        <v>74612.69</v>
      </c>
      <c r="E17" s="12" t="n">
        <f aca="false">B17-C17-D17</f>
        <v>67388.04</v>
      </c>
      <c r="F17" s="11" t="n">
        <v>0</v>
      </c>
      <c r="G17" s="13" t="n">
        <f aca="false">E17-F17</f>
        <v>67388.04</v>
      </c>
    </row>
    <row r="18" customFormat="false" ht="15" hidden="false" customHeight="true" outlineLevel="0" collapsed="false">
      <c r="A18" s="10" t="n">
        <v>13</v>
      </c>
      <c r="B18" s="11" t="n">
        <v>305513</v>
      </c>
      <c r="C18" s="11" t="n">
        <v>142470.3</v>
      </c>
      <c r="D18" s="11" t="n">
        <v>86850.69</v>
      </c>
      <c r="E18" s="12" t="n">
        <f aca="false">B18-C18-D18</f>
        <v>76192.01</v>
      </c>
      <c r="F18" s="11" t="n">
        <v>0</v>
      </c>
      <c r="G18" s="13" t="n">
        <f aca="false">E18-F18</f>
        <v>76192.01</v>
      </c>
    </row>
    <row r="19" customFormat="false" ht="15" hidden="false" customHeight="true" outlineLevel="0" collapsed="false">
      <c r="A19" s="10" t="n">
        <v>14</v>
      </c>
      <c r="B19" s="11" t="n">
        <v>327469</v>
      </c>
      <c r="C19" s="11" t="n">
        <v>150698.24</v>
      </c>
      <c r="D19" s="11" t="n">
        <v>92229.91</v>
      </c>
      <c r="E19" s="12" t="n">
        <f aca="false">B19-C19-D19</f>
        <v>84540.85</v>
      </c>
      <c r="F19" s="11" t="n">
        <v>0</v>
      </c>
      <c r="G19" s="13" t="n">
        <f aca="false">E19-F19</f>
        <v>84540.85</v>
      </c>
    </row>
    <row r="20" customFormat="false" ht="15" hidden="false" customHeight="true" outlineLevel="0" collapsed="false">
      <c r="A20" s="10" t="n">
        <v>15</v>
      </c>
      <c r="B20" s="11" t="n">
        <v>353417</v>
      </c>
      <c r="C20" s="11" t="n">
        <v>162015.62</v>
      </c>
      <c r="D20" s="11" t="n">
        <v>98587.17</v>
      </c>
      <c r="E20" s="12" t="n">
        <f aca="false">B20-C20-D20</f>
        <v>92814.21</v>
      </c>
      <c r="F20" s="11" t="n">
        <v>0</v>
      </c>
      <c r="G20" s="13" t="n">
        <f aca="false">E20-F20</f>
        <v>92814.21</v>
      </c>
    </row>
    <row r="21" customFormat="false" ht="15" hidden="false" customHeight="true" outlineLevel="0" collapsed="false">
      <c r="A21" s="10" t="n">
        <v>16</v>
      </c>
      <c r="B21" s="11" t="n">
        <v>381361</v>
      </c>
      <c r="C21" s="11" t="n">
        <v>174086.99</v>
      </c>
      <c r="D21" s="11" t="n">
        <v>105433.45</v>
      </c>
      <c r="E21" s="12" t="n">
        <f aca="false">B21-C21-D21</f>
        <v>101840.56</v>
      </c>
      <c r="F21" s="11" t="n">
        <v>0</v>
      </c>
      <c r="G21" s="13" t="n">
        <f aca="false">E21-F21</f>
        <v>101840.56</v>
      </c>
    </row>
    <row r="22" customFormat="false" ht="15" hidden="false" customHeight="true" outlineLevel="0" collapsed="false">
      <c r="A22" s="10" t="n">
        <v>17</v>
      </c>
      <c r="B22" s="11" t="n">
        <v>409305</v>
      </c>
      <c r="C22" s="11" t="n">
        <v>185984.46</v>
      </c>
      <c r="D22" s="11" t="n">
        <v>112279.73</v>
      </c>
      <c r="E22" s="12" t="n">
        <f aca="false">B22-C22-D22</f>
        <v>111040.81</v>
      </c>
      <c r="F22" s="11" t="n">
        <v>0</v>
      </c>
      <c r="G22" s="13" t="n">
        <f aca="false">E22-F22</f>
        <v>111040.81</v>
      </c>
    </row>
    <row r="23" customFormat="false" ht="15" hidden="false" customHeight="true" outlineLevel="0" collapsed="false">
      <c r="A23" s="10" t="n">
        <v>18</v>
      </c>
      <c r="B23" s="11" t="n">
        <v>439245</v>
      </c>
      <c r="C23" s="11" t="n">
        <v>198485.68</v>
      </c>
      <c r="D23" s="11" t="n">
        <v>119615.03</v>
      </c>
      <c r="E23" s="12" t="n">
        <f aca="false">B23-C23-D23</f>
        <v>121144.29</v>
      </c>
      <c r="F23" s="11" t="n">
        <v>0</v>
      </c>
      <c r="G23" s="13" t="n">
        <f aca="false">E23-F23</f>
        <v>121144.29</v>
      </c>
    </row>
    <row r="24" customFormat="false" ht="15" hidden="false" customHeight="true" outlineLevel="0" collapsed="false">
      <c r="A24" s="10" t="n">
        <v>19</v>
      </c>
      <c r="B24" s="11" t="n">
        <v>477186</v>
      </c>
      <c r="C24" s="11" t="n">
        <v>217308.63</v>
      </c>
      <c r="D24" s="11" t="n">
        <v>128910.57</v>
      </c>
      <c r="E24" s="12" t="n">
        <f aca="false">B24-C24-D24</f>
        <v>130966.8</v>
      </c>
      <c r="F24" s="11" t="n">
        <v>0</v>
      </c>
      <c r="G24" s="13" t="n">
        <f aca="false">E24-F24</f>
        <v>130966.8</v>
      </c>
    </row>
    <row r="25" customFormat="false" ht="15" hidden="false" customHeight="true" outlineLevel="0" collapsed="false">
      <c r="A25" s="10" t="n">
        <v>20</v>
      </c>
      <c r="B25" s="11" t="n">
        <v>509122</v>
      </c>
      <c r="C25" s="11" t="n">
        <v>228404.73</v>
      </c>
      <c r="D25" s="11" t="n">
        <v>136734.89</v>
      </c>
      <c r="E25" s="12" t="n">
        <f aca="false">B25-C25-D25</f>
        <v>143982.38</v>
      </c>
      <c r="F25" s="11" t="n">
        <v>0</v>
      </c>
      <c r="G25" s="13" t="n">
        <f aca="false">E25-F25</f>
        <v>143982.38</v>
      </c>
    </row>
    <row r="26" customFormat="false" ht="15" hidden="false" customHeight="true" outlineLevel="0" collapsed="false">
      <c r="A26" s="10" t="n">
        <v>21</v>
      </c>
      <c r="B26" s="11" t="n">
        <v>541058</v>
      </c>
      <c r="C26" s="11" t="n">
        <v>247257.54</v>
      </c>
      <c r="D26" s="11" t="n">
        <v>144559.21</v>
      </c>
      <c r="E26" s="12" t="n">
        <f aca="false">B26-C26-D26</f>
        <v>149241.25</v>
      </c>
      <c r="F26" s="11" t="n">
        <v>0</v>
      </c>
      <c r="G26" s="13" t="n">
        <f aca="false">E26-F26</f>
        <v>149241.25</v>
      </c>
    </row>
    <row r="27" customFormat="false" ht="15" hidden="false" customHeight="true" outlineLevel="0" collapsed="false">
      <c r="A27" s="10" t="n">
        <v>22</v>
      </c>
      <c r="B27" s="11" t="n">
        <v>574990</v>
      </c>
      <c r="C27" s="11" t="n">
        <v>267014.38</v>
      </c>
      <c r="D27" s="11" t="n">
        <v>152872.55</v>
      </c>
      <c r="E27" s="12" t="n">
        <f aca="false">B27-C27-D27</f>
        <v>155103.07</v>
      </c>
      <c r="F27" s="11" t="n">
        <v>0</v>
      </c>
      <c r="G27" s="13" t="n">
        <f aca="false">E27-F27</f>
        <v>155103.07</v>
      </c>
    </row>
    <row r="28" customFormat="false" ht="15" hidden="false" customHeight="true" outlineLevel="0" collapsed="false">
      <c r="A28" s="10" t="n">
        <v>23</v>
      </c>
      <c r="B28" s="11" t="n">
        <v>580921</v>
      </c>
      <c r="C28" s="11" t="n">
        <v>265812.37</v>
      </c>
      <c r="D28" s="11" t="n">
        <v>154325.65</v>
      </c>
      <c r="E28" s="12" t="n">
        <f aca="false">B28-C28-D28</f>
        <v>160782.98</v>
      </c>
      <c r="F28" s="11" t="n">
        <v>0</v>
      </c>
      <c r="G28" s="13" t="n">
        <f aca="false">E28-F28</f>
        <v>160782.98</v>
      </c>
    </row>
    <row r="29" customFormat="false" ht="15" hidden="false" customHeight="true" outlineLevel="0" collapsed="false">
      <c r="A29" s="10" t="n">
        <v>24</v>
      </c>
      <c r="B29" s="11" t="n">
        <v>648842</v>
      </c>
      <c r="C29" s="11" t="n">
        <v>270968.48</v>
      </c>
      <c r="D29" s="11" t="n">
        <v>170966.29</v>
      </c>
      <c r="E29" s="12" t="n">
        <f aca="false">B29-C29-D29</f>
        <v>206907.23</v>
      </c>
      <c r="F29" s="11" t="n">
        <v>0</v>
      </c>
      <c r="G29" s="13" t="n">
        <f aca="false">E29-F29</f>
        <v>206907.23</v>
      </c>
    </row>
    <row r="30" customFormat="false" ht="15" hidden="false" customHeight="true" outlineLevel="0" collapsed="false">
      <c r="A30" s="14" t="s">
        <v>37</v>
      </c>
      <c r="B30" s="13" t="n">
        <f aca="false">SUM(B5:B29)</f>
        <v>6989956</v>
      </c>
      <c r="C30" s="13" t="n">
        <f aca="false">SUM(C5:C29)</f>
        <v>3182559.07</v>
      </c>
      <c r="D30" s="13" t="n">
        <f aca="false">SUM(D5:D29)</f>
        <v>1987824.75</v>
      </c>
      <c r="E30" s="13" t="n">
        <f aca="false">SUM(E5:E29)</f>
        <v>1819572.18</v>
      </c>
      <c r="F30" s="13" t="n">
        <f aca="false">SUM(F5:F29)</f>
        <v>102000</v>
      </c>
      <c r="G30" s="13" t="n">
        <f aca="false">SUM(G5:G29)</f>
        <v>1717572.18</v>
      </c>
    </row>
    <row r="32" customFormat="false" ht="15" hidden="false" customHeight="true" outlineLevel="0" collapsed="false">
      <c r="A32" s="15" t="s">
        <v>38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6"/>
    <col collapsed="false" customWidth="true" hidden="false" outlineLevel="0" max="7" min="6" style="1" width="20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6" t="s">
        <v>39</v>
      </c>
      <c r="B1" s="7"/>
      <c r="C1" s="7"/>
      <c r="D1" s="7"/>
      <c r="E1" s="7"/>
      <c r="F1" s="7"/>
      <c r="G1" s="7"/>
      <c r="H1" s="7"/>
    </row>
    <row r="2" customFormat="false" ht="15" hidden="false" customHeight="true" outlineLevel="0" collapsed="false">
      <c r="A2" s="8" t="s">
        <v>40</v>
      </c>
    </row>
    <row r="4" customFormat="false" ht="31.5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35</v>
      </c>
      <c r="F4" s="9" t="s">
        <v>36</v>
      </c>
      <c r="G4" s="9" t="s">
        <v>41</v>
      </c>
      <c r="H4" s="9" t="s">
        <v>42</v>
      </c>
    </row>
    <row r="5" customFormat="false" ht="15" hidden="false" customHeight="true" outlineLevel="0" collapsed="false">
      <c r="A5" s="10" t="n">
        <v>0</v>
      </c>
      <c r="B5" s="12" t="n">
        <f aca="false">'Fluxo de Caixa'!B5</f>
        <v>0</v>
      </c>
      <c r="C5" s="12" t="n">
        <f aca="false">'Fluxo de Caixa'!C5</f>
        <v>0</v>
      </c>
      <c r="D5" s="12" t="n">
        <f aca="false">'Fluxo de Caixa'!D5</f>
        <v>0</v>
      </c>
      <c r="E5" s="12" t="n">
        <f aca="false">'Fluxo de Caixa'!F5</f>
        <v>102000</v>
      </c>
      <c r="F5" s="12" t="n">
        <f aca="false">'Fluxo de Caixa'!G5</f>
        <v>-102000</v>
      </c>
      <c r="G5" s="13" t="n">
        <f aca="false">F5</f>
        <v>-102000</v>
      </c>
      <c r="H5" s="16" t="str">
        <f aca="false">IF(G5&gt;=0,"Sim","Não")</f>
        <v>Não</v>
      </c>
    </row>
    <row r="6" customFormat="false" ht="15" hidden="false" customHeight="true" outlineLevel="0" collapsed="false">
      <c r="A6" s="10" t="n">
        <v>1</v>
      </c>
      <c r="B6" s="12" t="n">
        <f aca="false">'Fluxo de Caixa'!B6</f>
        <v>5988</v>
      </c>
      <c r="C6" s="12" t="n">
        <f aca="false">'Fluxo de Caixa'!C6</f>
        <v>4767.9</v>
      </c>
      <c r="D6" s="12" t="n">
        <f aca="false">'Fluxo de Caixa'!D6</f>
        <v>12000</v>
      </c>
      <c r="E6" s="12" t="n">
        <f aca="false">'Fluxo de Caixa'!F6</f>
        <v>0</v>
      </c>
      <c r="F6" s="12" t="n">
        <f aca="false">'Fluxo de Caixa'!G6</f>
        <v>-10779.9</v>
      </c>
      <c r="G6" s="13" t="n">
        <f aca="false">G5+F6</f>
        <v>-112779.9</v>
      </c>
      <c r="H6" s="16" t="str">
        <f aca="false">IF(G6&gt;=0,"Sim","Não")</f>
        <v>Não</v>
      </c>
    </row>
    <row r="7" customFormat="false" ht="15" hidden="false" customHeight="true" outlineLevel="0" collapsed="false">
      <c r="A7" s="10" t="n">
        <v>2</v>
      </c>
      <c r="B7" s="12" t="n">
        <f aca="false">'Fluxo de Caixa'!B7</f>
        <v>15968</v>
      </c>
      <c r="C7" s="12" t="n">
        <f aca="false">'Fluxo de Caixa'!C7</f>
        <v>9714.4</v>
      </c>
      <c r="D7" s="12" t="n">
        <f aca="false">'Fluxo de Caixa'!D7</f>
        <v>12000</v>
      </c>
      <c r="E7" s="12" t="n">
        <f aca="false">'Fluxo de Caixa'!F7</f>
        <v>0</v>
      </c>
      <c r="F7" s="12" t="n">
        <f aca="false">'Fluxo de Caixa'!G7</f>
        <v>-5746.4</v>
      </c>
      <c r="G7" s="13" t="n">
        <f aca="false">G6+F7</f>
        <v>-118526.3</v>
      </c>
      <c r="H7" s="16" t="str">
        <f aca="false">IF(G7&gt;=0,"Sim","Não")</f>
        <v>Não</v>
      </c>
    </row>
    <row r="8" customFormat="false" ht="15" hidden="false" customHeight="true" outlineLevel="0" collapsed="false">
      <c r="A8" s="10" t="n">
        <v>3</v>
      </c>
      <c r="B8" s="12" t="n">
        <f aca="false">'Fluxo de Caixa'!B8</f>
        <v>29940</v>
      </c>
      <c r="C8" s="12" t="n">
        <f aca="false">'Fluxo de Caixa'!C8</f>
        <v>15839.5</v>
      </c>
      <c r="D8" s="12" t="n">
        <f aca="false">'Fluxo de Caixa'!D8</f>
        <v>12000</v>
      </c>
      <c r="E8" s="12" t="n">
        <f aca="false">'Fluxo de Caixa'!F8</f>
        <v>0</v>
      </c>
      <c r="F8" s="12" t="n">
        <f aca="false">'Fluxo de Caixa'!G8</f>
        <v>2100.5</v>
      </c>
      <c r="G8" s="13" t="n">
        <f aca="false">G7+F8</f>
        <v>-116425.8</v>
      </c>
      <c r="H8" s="16" t="str">
        <f aca="false">IF(G8&gt;=0,"Sim","Não")</f>
        <v>Não</v>
      </c>
    </row>
    <row r="9" customFormat="false" ht="15" hidden="false" customHeight="true" outlineLevel="0" collapsed="false">
      <c r="A9" s="10" t="n">
        <v>4</v>
      </c>
      <c r="B9" s="12" t="n">
        <f aca="false">'Fluxo de Caixa'!B9</f>
        <v>57901</v>
      </c>
      <c r="C9" s="12" t="n">
        <f aca="false">'Fluxo de Caixa'!C9</f>
        <v>30923.82</v>
      </c>
      <c r="D9" s="12" t="n">
        <f aca="false">'Fluxo de Caixa'!D9</f>
        <v>26185.75</v>
      </c>
      <c r="E9" s="12" t="n">
        <f aca="false">'Fluxo de Caixa'!F9</f>
        <v>0</v>
      </c>
      <c r="F9" s="12" t="n">
        <f aca="false">'Fluxo de Caixa'!G9</f>
        <v>791.43</v>
      </c>
      <c r="G9" s="13" t="n">
        <f aca="false">G8+F9</f>
        <v>-115634.37</v>
      </c>
      <c r="H9" s="16" t="str">
        <f aca="false">IF(G9&gt;=0,"Sim","Não")</f>
        <v>Não</v>
      </c>
    </row>
    <row r="10" customFormat="false" ht="15" hidden="false" customHeight="true" outlineLevel="0" collapsed="false">
      <c r="A10" s="10" t="n">
        <v>5</v>
      </c>
      <c r="B10" s="12" t="n">
        <f aca="false">'Fluxo de Caixa'!B10</f>
        <v>77861</v>
      </c>
      <c r="C10" s="12" t="n">
        <f aca="false">'Fluxo de Caixa'!C10</f>
        <v>38507.3</v>
      </c>
      <c r="D10" s="12" t="n">
        <f aca="false">'Fluxo de Caixa'!D10</f>
        <v>31075.95</v>
      </c>
      <c r="E10" s="12" t="n">
        <f aca="false">'Fluxo de Caixa'!F10</f>
        <v>0</v>
      </c>
      <c r="F10" s="12" t="n">
        <f aca="false">'Fluxo de Caixa'!G10</f>
        <v>8277.75</v>
      </c>
      <c r="G10" s="13" t="n">
        <f aca="false">G9+F10</f>
        <v>-107356.62</v>
      </c>
      <c r="H10" s="16" t="str">
        <f aca="false">IF(G10&gt;=0,"Sim","Não")</f>
        <v>Não</v>
      </c>
    </row>
    <row r="11" customFormat="false" ht="15" hidden="false" customHeight="true" outlineLevel="0" collapsed="false">
      <c r="A11" s="10" t="n">
        <v>6</v>
      </c>
      <c r="B11" s="12" t="n">
        <f aca="false">'Fluxo de Caixa'!B11</f>
        <v>125822</v>
      </c>
      <c r="C11" s="12" t="n">
        <f aca="false">'Fluxo de Caixa'!C11</f>
        <v>63883.58</v>
      </c>
      <c r="D11" s="12" t="n">
        <f aca="false">'Fluxo de Caixa'!D11</f>
        <v>42826.39</v>
      </c>
      <c r="E11" s="12" t="n">
        <f aca="false">'Fluxo de Caixa'!F11</f>
        <v>0</v>
      </c>
      <c r="F11" s="12" t="n">
        <f aca="false">'Fluxo de Caixa'!G11</f>
        <v>19112.03</v>
      </c>
      <c r="G11" s="13" t="n">
        <f aca="false">G10+F11</f>
        <v>-88244.59</v>
      </c>
      <c r="H11" s="16" t="str">
        <f aca="false">IF(G11&gt;=0,"Sim","Não")</f>
        <v>Não</v>
      </c>
    </row>
    <row r="12" customFormat="false" ht="15" hidden="false" customHeight="true" outlineLevel="0" collapsed="false">
      <c r="A12" s="10" t="n">
        <v>7</v>
      </c>
      <c r="B12" s="12" t="n">
        <f aca="false">'Fluxo de Caixa'!B12</f>
        <v>117781</v>
      </c>
      <c r="C12" s="12" t="n">
        <f aca="false">'Fluxo de Caixa'!C12</f>
        <v>53501.9</v>
      </c>
      <c r="D12" s="12" t="n">
        <f aca="false">'Fluxo de Caixa'!D12</f>
        <v>40856.35</v>
      </c>
      <c r="E12" s="12" t="n">
        <f aca="false">'Fluxo de Caixa'!F12</f>
        <v>0</v>
      </c>
      <c r="F12" s="12" t="n">
        <f aca="false">'Fluxo de Caixa'!G12</f>
        <v>23422.75</v>
      </c>
      <c r="G12" s="13" t="n">
        <f aca="false">G11+F12</f>
        <v>-64821.84</v>
      </c>
      <c r="H12" s="16" t="str">
        <f aca="false">IF(G12&gt;=0,"Sim","Não")</f>
        <v>Não</v>
      </c>
    </row>
    <row r="13" customFormat="false" ht="15" hidden="false" customHeight="true" outlineLevel="0" collapsed="false">
      <c r="A13" s="10" t="n">
        <v>8</v>
      </c>
      <c r="B13" s="12" t="n">
        <f aca="false">'Fluxo de Caixa'!B13</f>
        <v>165742</v>
      </c>
      <c r="C13" s="12" t="n">
        <f aca="false">'Fluxo de Caixa'!C13</f>
        <v>79095.96</v>
      </c>
      <c r="D13" s="12" t="n">
        <f aca="false">'Fluxo de Caixa'!D13</f>
        <v>52606.79</v>
      </c>
      <c r="E13" s="12" t="n">
        <f aca="false">'Fluxo de Caixa'!F13</f>
        <v>0</v>
      </c>
      <c r="F13" s="12" t="n">
        <f aca="false">'Fluxo de Caixa'!G13</f>
        <v>34039.25</v>
      </c>
      <c r="G13" s="13" t="n">
        <f aca="false">G12+F13</f>
        <v>-30782.59</v>
      </c>
      <c r="H13" s="16" t="str">
        <f aca="false">IF(G13&gt;=0,"Sim","Não")</f>
        <v>Não</v>
      </c>
    </row>
    <row r="14" customFormat="false" ht="15" hidden="false" customHeight="true" outlineLevel="0" collapsed="false">
      <c r="A14" s="10" t="n">
        <v>9</v>
      </c>
      <c r="B14" s="12" t="n">
        <f aca="false">'Fluxo de Caixa'!B14</f>
        <v>167698</v>
      </c>
      <c r="C14" s="12" t="n">
        <f aca="false">'Fluxo de Caixa'!C14</f>
        <v>75207.39</v>
      </c>
      <c r="D14" s="12" t="n">
        <f aca="false">'Fluxo de Caixa'!D14</f>
        <v>53086.01</v>
      </c>
      <c r="E14" s="12" t="n">
        <f aca="false">'Fluxo de Caixa'!F14</f>
        <v>0</v>
      </c>
      <c r="F14" s="12" t="n">
        <f aca="false">'Fluxo de Caixa'!G14</f>
        <v>39404.6</v>
      </c>
      <c r="G14" s="13" t="n">
        <f aca="false">G13+F14</f>
        <v>8622.01</v>
      </c>
      <c r="H14" s="16" t="str">
        <f aca="false">IF(G14&gt;=0,"Sim","Não")</f>
        <v>Sim</v>
      </c>
    </row>
    <row r="15" customFormat="false" ht="15" hidden="false" customHeight="true" outlineLevel="0" collapsed="false">
      <c r="A15" s="10" t="n">
        <v>10</v>
      </c>
      <c r="B15" s="12" t="n">
        <f aca="false">'Fluxo de Caixa'!B15</f>
        <v>209654</v>
      </c>
      <c r="C15" s="12" t="n">
        <f aca="false">'Fluxo de Caixa'!C15</f>
        <v>95573.59</v>
      </c>
      <c r="D15" s="12" t="n">
        <f aca="false">'Fluxo de Caixa'!D15</f>
        <v>63365.23</v>
      </c>
      <c r="E15" s="12" t="n">
        <f aca="false">'Fluxo de Caixa'!F15</f>
        <v>0</v>
      </c>
      <c r="F15" s="12" t="n">
        <f aca="false">'Fluxo de Caixa'!G15</f>
        <v>50715.18</v>
      </c>
      <c r="G15" s="13" t="n">
        <f aca="false">G14+F15</f>
        <v>59337.19</v>
      </c>
      <c r="H15" s="16" t="str">
        <f aca="false">IF(G15&gt;=0,"Sim","Não")</f>
        <v>Sim</v>
      </c>
    </row>
    <row r="16" customFormat="false" ht="15" hidden="false" customHeight="true" outlineLevel="0" collapsed="false">
      <c r="A16" s="10" t="n">
        <v>11</v>
      </c>
      <c r="B16" s="12" t="n">
        <f aca="false">'Fluxo de Caixa'!B16</f>
        <v>211610</v>
      </c>
      <c r="C16" s="12" t="n">
        <f aca="false">'Fluxo de Caixa'!C16</f>
        <v>91475.04</v>
      </c>
      <c r="D16" s="12" t="n">
        <f aca="false">'Fluxo de Caixa'!D16</f>
        <v>63844.45</v>
      </c>
      <c r="E16" s="12" t="n">
        <f aca="false">'Fluxo de Caixa'!F16</f>
        <v>0</v>
      </c>
      <c r="F16" s="12" t="n">
        <f aca="false">'Fluxo de Caixa'!G16</f>
        <v>56290.51</v>
      </c>
      <c r="G16" s="13" t="n">
        <f aca="false">G15+F16</f>
        <v>115627.7</v>
      </c>
      <c r="H16" s="16" t="str">
        <f aca="false">IF(G16&gt;=0,"Sim","Não")</f>
        <v>Sim</v>
      </c>
    </row>
    <row r="17" customFormat="false" ht="15" hidden="false" customHeight="true" outlineLevel="0" collapsed="false">
      <c r="A17" s="10" t="n">
        <v>12</v>
      </c>
      <c r="B17" s="12" t="n">
        <f aca="false">'Fluxo de Caixa'!B17</f>
        <v>255562</v>
      </c>
      <c r="C17" s="12" t="n">
        <f aca="false">'Fluxo de Caixa'!C17</f>
        <v>113561.27</v>
      </c>
      <c r="D17" s="12" t="n">
        <f aca="false">'Fluxo de Caixa'!D17</f>
        <v>74612.69</v>
      </c>
      <c r="E17" s="12" t="n">
        <f aca="false">'Fluxo de Caixa'!F17</f>
        <v>0</v>
      </c>
      <c r="F17" s="12" t="n">
        <f aca="false">'Fluxo de Caixa'!G17</f>
        <v>67388.04</v>
      </c>
      <c r="G17" s="13" t="n">
        <f aca="false">G16+F17</f>
        <v>183015.74</v>
      </c>
      <c r="H17" s="16" t="str">
        <f aca="false">IF(G17&gt;=0,"Sim","Não")</f>
        <v>Sim</v>
      </c>
    </row>
    <row r="18" customFormat="false" ht="15" hidden="false" customHeight="true" outlineLevel="0" collapsed="false">
      <c r="A18" s="10" t="n">
        <v>13</v>
      </c>
      <c r="B18" s="12" t="n">
        <f aca="false">'Fluxo de Caixa'!B18</f>
        <v>305513</v>
      </c>
      <c r="C18" s="12" t="n">
        <f aca="false">'Fluxo de Caixa'!C18</f>
        <v>142470.3</v>
      </c>
      <c r="D18" s="12" t="n">
        <f aca="false">'Fluxo de Caixa'!D18</f>
        <v>86850.69</v>
      </c>
      <c r="E18" s="12" t="n">
        <f aca="false">'Fluxo de Caixa'!F18</f>
        <v>0</v>
      </c>
      <c r="F18" s="12" t="n">
        <f aca="false">'Fluxo de Caixa'!G18</f>
        <v>76192.01</v>
      </c>
      <c r="G18" s="13" t="n">
        <f aca="false">G17+F18</f>
        <v>259207.75</v>
      </c>
      <c r="H18" s="16" t="str">
        <f aca="false">IF(G18&gt;=0,"Sim","Não")</f>
        <v>Sim</v>
      </c>
    </row>
    <row r="19" customFormat="false" ht="15" hidden="false" customHeight="true" outlineLevel="0" collapsed="false">
      <c r="A19" s="10" t="n">
        <v>14</v>
      </c>
      <c r="B19" s="12" t="n">
        <f aca="false">'Fluxo de Caixa'!B19</f>
        <v>327469</v>
      </c>
      <c r="C19" s="12" t="n">
        <f aca="false">'Fluxo de Caixa'!C19</f>
        <v>150698.24</v>
      </c>
      <c r="D19" s="12" t="n">
        <f aca="false">'Fluxo de Caixa'!D19</f>
        <v>92229.91</v>
      </c>
      <c r="E19" s="12" t="n">
        <f aca="false">'Fluxo de Caixa'!F19</f>
        <v>0</v>
      </c>
      <c r="F19" s="12" t="n">
        <f aca="false">'Fluxo de Caixa'!G19</f>
        <v>84540.85</v>
      </c>
      <c r="G19" s="13" t="n">
        <f aca="false">G18+F19</f>
        <v>343748.6</v>
      </c>
      <c r="H19" s="16" t="str">
        <f aca="false">IF(G19&gt;=0,"Sim","Não")</f>
        <v>Sim</v>
      </c>
    </row>
    <row r="20" customFormat="false" ht="15" hidden="false" customHeight="true" outlineLevel="0" collapsed="false">
      <c r="A20" s="10" t="n">
        <v>15</v>
      </c>
      <c r="B20" s="12" t="n">
        <f aca="false">'Fluxo de Caixa'!B20</f>
        <v>353417</v>
      </c>
      <c r="C20" s="12" t="n">
        <f aca="false">'Fluxo de Caixa'!C20</f>
        <v>162015.62</v>
      </c>
      <c r="D20" s="12" t="n">
        <f aca="false">'Fluxo de Caixa'!D20</f>
        <v>98587.17</v>
      </c>
      <c r="E20" s="12" t="n">
        <f aca="false">'Fluxo de Caixa'!F20</f>
        <v>0</v>
      </c>
      <c r="F20" s="12" t="n">
        <f aca="false">'Fluxo de Caixa'!G20</f>
        <v>92814.21</v>
      </c>
      <c r="G20" s="13" t="n">
        <f aca="false">G19+F20</f>
        <v>436562.81</v>
      </c>
      <c r="H20" s="16" t="str">
        <f aca="false">IF(G20&gt;=0,"Sim","Não")</f>
        <v>Sim</v>
      </c>
    </row>
    <row r="21" customFormat="false" ht="15" hidden="false" customHeight="true" outlineLevel="0" collapsed="false">
      <c r="A21" s="10" t="n">
        <v>16</v>
      </c>
      <c r="B21" s="12" t="n">
        <f aca="false">'Fluxo de Caixa'!B21</f>
        <v>381361</v>
      </c>
      <c r="C21" s="12" t="n">
        <f aca="false">'Fluxo de Caixa'!C21</f>
        <v>174086.99</v>
      </c>
      <c r="D21" s="12" t="n">
        <f aca="false">'Fluxo de Caixa'!D21</f>
        <v>105433.45</v>
      </c>
      <c r="E21" s="12" t="n">
        <f aca="false">'Fluxo de Caixa'!F21</f>
        <v>0</v>
      </c>
      <c r="F21" s="12" t="n">
        <f aca="false">'Fluxo de Caixa'!G21</f>
        <v>101840.56</v>
      </c>
      <c r="G21" s="13" t="n">
        <f aca="false">G20+F21</f>
        <v>538403.37</v>
      </c>
      <c r="H21" s="16" t="str">
        <f aca="false">IF(G21&gt;=0,"Sim","Não")</f>
        <v>Sim</v>
      </c>
    </row>
    <row r="22" customFormat="false" ht="15" hidden="false" customHeight="true" outlineLevel="0" collapsed="false">
      <c r="A22" s="10" t="n">
        <v>17</v>
      </c>
      <c r="B22" s="12" t="n">
        <f aca="false">'Fluxo de Caixa'!B22</f>
        <v>409305</v>
      </c>
      <c r="C22" s="12" t="n">
        <f aca="false">'Fluxo de Caixa'!C22</f>
        <v>185984.46</v>
      </c>
      <c r="D22" s="12" t="n">
        <f aca="false">'Fluxo de Caixa'!D22</f>
        <v>112279.73</v>
      </c>
      <c r="E22" s="12" t="n">
        <f aca="false">'Fluxo de Caixa'!F22</f>
        <v>0</v>
      </c>
      <c r="F22" s="12" t="n">
        <f aca="false">'Fluxo de Caixa'!G22</f>
        <v>111040.81</v>
      </c>
      <c r="G22" s="13" t="n">
        <f aca="false">G21+F22</f>
        <v>649444.18</v>
      </c>
      <c r="H22" s="16" t="str">
        <f aca="false">IF(G22&gt;=0,"Sim","Não")</f>
        <v>Sim</v>
      </c>
    </row>
    <row r="23" customFormat="false" ht="15" hidden="false" customHeight="true" outlineLevel="0" collapsed="false">
      <c r="A23" s="10" t="n">
        <v>18</v>
      </c>
      <c r="B23" s="12" t="n">
        <f aca="false">'Fluxo de Caixa'!B23</f>
        <v>439245</v>
      </c>
      <c r="C23" s="12" t="n">
        <f aca="false">'Fluxo de Caixa'!C23</f>
        <v>198485.68</v>
      </c>
      <c r="D23" s="12" t="n">
        <f aca="false">'Fluxo de Caixa'!D23</f>
        <v>119615.03</v>
      </c>
      <c r="E23" s="12" t="n">
        <f aca="false">'Fluxo de Caixa'!F23</f>
        <v>0</v>
      </c>
      <c r="F23" s="12" t="n">
        <f aca="false">'Fluxo de Caixa'!G23</f>
        <v>121144.29</v>
      </c>
      <c r="G23" s="13" t="n">
        <f aca="false">G22+F23</f>
        <v>770588.47</v>
      </c>
      <c r="H23" s="16" t="str">
        <f aca="false">IF(G23&gt;=0,"Sim","Não")</f>
        <v>Sim</v>
      </c>
    </row>
    <row r="24" customFormat="false" ht="15" hidden="false" customHeight="true" outlineLevel="0" collapsed="false">
      <c r="A24" s="10" t="n">
        <v>19</v>
      </c>
      <c r="B24" s="12" t="n">
        <f aca="false">'Fluxo de Caixa'!B24</f>
        <v>477186</v>
      </c>
      <c r="C24" s="12" t="n">
        <f aca="false">'Fluxo de Caixa'!C24</f>
        <v>217308.63</v>
      </c>
      <c r="D24" s="12" t="n">
        <f aca="false">'Fluxo de Caixa'!D24</f>
        <v>128910.57</v>
      </c>
      <c r="E24" s="12" t="n">
        <f aca="false">'Fluxo de Caixa'!F24</f>
        <v>0</v>
      </c>
      <c r="F24" s="12" t="n">
        <f aca="false">'Fluxo de Caixa'!G24</f>
        <v>130966.8</v>
      </c>
      <c r="G24" s="13" t="n">
        <f aca="false">G23+F24</f>
        <v>901555.27</v>
      </c>
      <c r="H24" s="16" t="str">
        <f aca="false">IF(G24&gt;=0,"Sim","Não")</f>
        <v>Sim</v>
      </c>
    </row>
    <row r="25" customFormat="false" ht="15" hidden="false" customHeight="true" outlineLevel="0" collapsed="false">
      <c r="A25" s="10" t="n">
        <v>20</v>
      </c>
      <c r="B25" s="12" t="n">
        <f aca="false">'Fluxo de Caixa'!B25</f>
        <v>509122</v>
      </c>
      <c r="C25" s="12" t="n">
        <f aca="false">'Fluxo de Caixa'!C25</f>
        <v>228404.73</v>
      </c>
      <c r="D25" s="12" t="n">
        <f aca="false">'Fluxo de Caixa'!D25</f>
        <v>136734.89</v>
      </c>
      <c r="E25" s="12" t="n">
        <f aca="false">'Fluxo de Caixa'!F25</f>
        <v>0</v>
      </c>
      <c r="F25" s="12" t="n">
        <f aca="false">'Fluxo de Caixa'!G25</f>
        <v>143982.38</v>
      </c>
      <c r="G25" s="13" t="n">
        <f aca="false">G24+F25</f>
        <v>1045537.65</v>
      </c>
      <c r="H25" s="16" t="str">
        <f aca="false">IF(G25&gt;=0,"Sim","Não")</f>
        <v>Sim</v>
      </c>
    </row>
    <row r="26" customFormat="false" ht="15" hidden="false" customHeight="true" outlineLevel="0" collapsed="false">
      <c r="A26" s="10" t="n">
        <v>21</v>
      </c>
      <c r="B26" s="12" t="n">
        <f aca="false">'Fluxo de Caixa'!B26</f>
        <v>541058</v>
      </c>
      <c r="C26" s="12" t="n">
        <f aca="false">'Fluxo de Caixa'!C26</f>
        <v>247257.54</v>
      </c>
      <c r="D26" s="12" t="n">
        <f aca="false">'Fluxo de Caixa'!D26</f>
        <v>144559.21</v>
      </c>
      <c r="E26" s="12" t="n">
        <f aca="false">'Fluxo de Caixa'!F26</f>
        <v>0</v>
      </c>
      <c r="F26" s="12" t="n">
        <f aca="false">'Fluxo de Caixa'!G26</f>
        <v>149241.25</v>
      </c>
      <c r="G26" s="13" t="n">
        <f aca="false">G25+F26</f>
        <v>1194778.9</v>
      </c>
      <c r="H26" s="16" t="str">
        <f aca="false">IF(G26&gt;=0,"Sim","Não")</f>
        <v>Sim</v>
      </c>
    </row>
    <row r="27" customFormat="false" ht="15" hidden="false" customHeight="true" outlineLevel="0" collapsed="false">
      <c r="A27" s="10" t="n">
        <v>22</v>
      </c>
      <c r="B27" s="12" t="n">
        <f aca="false">'Fluxo de Caixa'!B27</f>
        <v>574990</v>
      </c>
      <c r="C27" s="12" t="n">
        <f aca="false">'Fluxo de Caixa'!C27</f>
        <v>267014.38</v>
      </c>
      <c r="D27" s="12" t="n">
        <f aca="false">'Fluxo de Caixa'!D27</f>
        <v>152872.55</v>
      </c>
      <c r="E27" s="12" t="n">
        <f aca="false">'Fluxo de Caixa'!F27</f>
        <v>0</v>
      </c>
      <c r="F27" s="12" t="n">
        <f aca="false">'Fluxo de Caixa'!G27</f>
        <v>155103.07</v>
      </c>
      <c r="G27" s="13" t="n">
        <f aca="false">G26+F27</f>
        <v>1349881.97</v>
      </c>
      <c r="H27" s="16" t="str">
        <f aca="false">IF(G27&gt;=0,"Sim","Não")</f>
        <v>Sim</v>
      </c>
    </row>
    <row r="28" customFormat="false" ht="15" hidden="false" customHeight="true" outlineLevel="0" collapsed="false">
      <c r="A28" s="10" t="n">
        <v>23</v>
      </c>
      <c r="B28" s="12" t="n">
        <f aca="false">'Fluxo de Caixa'!B28</f>
        <v>580921</v>
      </c>
      <c r="C28" s="12" t="n">
        <f aca="false">'Fluxo de Caixa'!C28</f>
        <v>265812.37</v>
      </c>
      <c r="D28" s="12" t="n">
        <f aca="false">'Fluxo de Caixa'!D28</f>
        <v>154325.65</v>
      </c>
      <c r="E28" s="12" t="n">
        <f aca="false">'Fluxo de Caixa'!F28</f>
        <v>0</v>
      </c>
      <c r="F28" s="12" t="n">
        <f aca="false">'Fluxo de Caixa'!G28</f>
        <v>160782.98</v>
      </c>
      <c r="G28" s="13" t="n">
        <f aca="false">G27+F28</f>
        <v>1510664.95</v>
      </c>
      <c r="H28" s="16" t="str">
        <f aca="false">IF(G28&gt;=0,"Sim","Não")</f>
        <v>Sim</v>
      </c>
    </row>
    <row r="29" customFormat="false" ht="15" hidden="false" customHeight="true" outlineLevel="0" collapsed="false">
      <c r="A29" s="10" t="n">
        <v>24</v>
      </c>
      <c r="B29" s="12" t="n">
        <f aca="false">'Fluxo de Caixa'!B29</f>
        <v>648842</v>
      </c>
      <c r="C29" s="12" t="n">
        <f aca="false">'Fluxo de Caixa'!C29</f>
        <v>270968.48</v>
      </c>
      <c r="D29" s="12" t="n">
        <f aca="false">'Fluxo de Caixa'!D29</f>
        <v>170966.29</v>
      </c>
      <c r="E29" s="12" t="n">
        <f aca="false">'Fluxo de Caixa'!F29</f>
        <v>0</v>
      </c>
      <c r="F29" s="12" t="n">
        <f aca="false">'Fluxo de Caixa'!G29</f>
        <v>206907.23</v>
      </c>
      <c r="G29" s="13" t="n">
        <f aca="false">G28+F29</f>
        <v>1717572.18</v>
      </c>
      <c r="H29" s="16" t="str">
        <f aca="false">IF(G29&gt;=0,"Sim","Não")</f>
        <v>Sim</v>
      </c>
    </row>
    <row r="31" customFormat="false" ht="15" hidden="false" customHeight="true" outlineLevel="0" collapsed="false">
      <c r="A31" s="4" t="s">
        <v>43</v>
      </c>
      <c r="B31" s="7"/>
      <c r="C31" s="7"/>
      <c r="D31" s="7"/>
      <c r="E31" s="7"/>
      <c r="F31" s="7"/>
      <c r="G31" s="7"/>
    </row>
    <row r="32" customFormat="false" ht="15" hidden="false" customHeight="true" outlineLevel="0" collapsed="false">
      <c r="A32" s="3" t="s">
        <v>44</v>
      </c>
      <c r="F32" s="17" t="n">
        <f aca="false">MAX(0,-MIN(G5:G29))</f>
        <v>118526.3</v>
      </c>
      <c r="G32" s="18" t="s">
        <v>45</v>
      </c>
    </row>
    <row r="33" customFormat="false" ht="15" hidden="false" customHeight="true" outlineLevel="0" collapsed="false">
      <c r="A33" s="3" t="s">
        <v>46</v>
      </c>
      <c r="F33" s="19" t="n">
        <f aca="false">IFERROR(INDEX(A5:A29,MATCH("Sim",H5:H29,0)),"Não recupera")</f>
        <v>9</v>
      </c>
      <c r="G33" s="18" t="s">
        <v>47</v>
      </c>
    </row>
  </sheetData>
  <sheetProtection sheet="true"/>
  <conditionalFormatting sqref="G5:G29">
    <cfRule type="expression" priority="2" aboveAverage="0" equalAverage="0" bottom="0" percent="0" rank="0" text="" dxfId="0">
      <formula>G5&lt;0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6" t="s">
        <v>48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A2" s="8" t="s">
        <v>49</v>
      </c>
    </row>
    <row r="4" customFormat="false" ht="15" hidden="false" customHeight="true" outlineLevel="0" collapsed="false">
      <c r="A4" s="4" t="s">
        <v>50</v>
      </c>
      <c r="B4" s="7"/>
      <c r="C4" s="7"/>
      <c r="D4" s="7"/>
      <c r="E4" s="7"/>
      <c r="F4" s="7"/>
      <c r="G4" s="7"/>
    </row>
    <row r="5" customFormat="false" ht="15" hidden="false" customHeight="true" outlineLevel="0" collapsed="false">
      <c r="A5" s="3" t="s">
        <v>51</v>
      </c>
      <c r="B5" s="20" t="n">
        <v>0.24</v>
      </c>
      <c r="C5" s="18" t="s">
        <v>52</v>
      </c>
    </row>
    <row r="6" customFormat="false" ht="15" hidden="false" customHeight="true" outlineLevel="0" collapsed="false">
      <c r="A6" s="3" t="s">
        <v>53</v>
      </c>
      <c r="B6" s="21" t="s">
        <v>54</v>
      </c>
      <c r="C6" s="18" t="s">
        <v>55</v>
      </c>
    </row>
    <row r="7" customFormat="false" ht="15" hidden="false" customHeight="true" outlineLevel="0" collapsed="false">
      <c r="A7" s="3" t="s">
        <v>56</v>
      </c>
      <c r="B7" s="22" t="n">
        <f aca="false">IF(B6="Mensal",(1+B5)^(1/12)-1,B5)</f>
        <v>0.0180875824835107</v>
      </c>
      <c r="C7" s="18" t="s">
        <v>57</v>
      </c>
    </row>
    <row r="9" customFormat="false" ht="15" hidden="false" customHeight="true" outlineLevel="0" collapsed="false">
      <c r="A9" s="4" t="s">
        <v>58</v>
      </c>
      <c r="B9" s="7"/>
      <c r="C9" s="7"/>
      <c r="D9" s="7"/>
      <c r="E9" s="7"/>
      <c r="F9" s="7"/>
      <c r="G9" s="7"/>
    </row>
    <row r="10" customFormat="false" ht="31.5" hidden="false" customHeight="true" outlineLevel="0" collapsed="false">
      <c r="A10" s="9" t="s">
        <v>30</v>
      </c>
      <c r="B10" s="9" t="s">
        <v>59</v>
      </c>
      <c r="C10" s="9" t="s">
        <v>60</v>
      </c>
      <c r="D10" s="9" t="s">
        <v>61</v>
      </c>
      <c r="E10" s="9" t="s">
        <v>62</v>
      </c>
      <c r="F10" s="9" t="s">
        <v>63</v>
      </c>
    </row>
    <row r="11" customFormat="false" ht="15" hidden="false" customHeight="true" outlineLevel="0" collapsed="false">
      <c r="A11" s="10" t="n">
        <v>0</v>
      </c>
      <c r="B11" s="12" t="n">
        <f aca="false">'Fluxo de Caixa'!G5</f>
        <v>-102000</v>
      </c>
      <c r="C11" s="23" t="n">
        <f aca="false">1/(1+$B$7)^A11</f>
        <v>1</v>
      </c>
      <c r="D11" s="12" t="n">
        <f aca="false">B11*C11</f>
        <v>-102000</v>
      </c>
      <c r="E11" s="13" t="n">
        <f aca="false">D11</f>
        <v>-102000</v>
      </c>
      <c r="F11" s="16" t="str">
        <f aca="false">IF(E11&gt;=0,"Sim","Não")</f>
        <v>Não</v>
      </c>
    </row>
    <row r="12" customFormat="false" ht="15" hidden="false" customHeight="true" outlineLevel="0" collapsed="false">
      <c r="A12" s="10" t="n">
        <v>1</v>
      </c>
      <c r="B12" s="12" t="n">
        <f aca="false">'Fluxo de Caixa'!G6</f>
        <v>-10779.9</v>
      </c>
      <c r="C12" s="23" t="n">
        <f aca="false">1/(1+$B$7)^A12</f>
        <v>0.982233765744016</v>
      </c>
      <c r="D12" s="12" t="n">
        <f aca="false">B12*C12</f>
        <v>-10588.3817713439</v>
      </c>
      <c r="E12" s="13" t="n">
        <f aca="false">E11+D12</f>
        <v>-112588.381771344</v>
      </c>
      <c r="F12" s="16" t="str">
        <f aca="false">IF(E12&gt;=0,"Sim","Não")</f>
        <v>Não</v>
      </c>
    </row>
    <row r="13" customFormat="false" ht="15" hidden="false" customHeight="true" outlineLevel="0" collapsed="false">
      <c r="A13" s="10" t="n">
        <v>2</v>
      </c>
      <c r="B13" s="12" t="n">
        <f aca="false">'Fluxo de Caixa'!G7</f>
        <v>-5746.4</v>
      </c>
      <c r="C13" s="23" t="n">
        <f aca="false">1/(1+$B$7)^A13</f>
        <v>0.96478317056767</v>
      </c>
      <c r="D13" s="12" t="n">
        <f aca="false">B13*C13</f>
        <v>-5544.03001135006</v>
      </c>
      <c r="E13" s="13" t="n">
        <f aca="false">E12+D13</f>
        <v>-118132.411782694</v>
      </c>
      <c r="F13" s="16" t="str">
        <f aca="false">IF(E13&gt;=0,"Sim","Não")</f>
        <v>Não</v>
      </c>
    </row>
    <row r="14" customFormat="false" ht="15" hidden="false" customHeight="true" outlineLevel="0" collapsed="false">
      <c r="A14" s="10" t="n">
        <v>3</v>
      </c>
      <c r="B14" s="12" t="n">
        <f aca="false">'Fluxo de Caixa'!G8</f>
        <v>2100.5</v>
      </c>
      <c r="C14" s="23" t="n">
        <f aca="false">1/(1+$B$7)^A14</f>
        <v>0.947642606753134</v>
      </c>
      <c r="D14" s="12" t="n">
        <f aca="false">B14*C14</f>
        <v>1990.52329548496</v>
      </c>
      <c r="E14" s="13" t="n">
        <f aca="false">E13+D14</f>
        <v>-116141.888487209</v>
      </c>
      <c r="F14" s="16" t="str">
        <f aca="false">IF(E14&gt;=0,"Sim","Não")</f>
        <v>Não</v>
      </c>
    </row>
    <row r="15" customFormat="false" ht="15" hidden="false" customHeight="true" outlineLevel="0" collapsed="false">
      <c r="A15" s="10" t="n">
        <v>4</v>
      </c>
      <c r="B15" s="12" t="n">
        <f aca="false">'Fluxo de Caixa'!G9</f>
        <v>791.43</v>
      </c>
      <c r="C15" s="23" t="n">
        <f aca="false">1/(1+$B$7)^A15</f>
        <v>0.930806566210606</v>
      </c>
      <c r="D15" s="12" t="n">
        <f aca="false">B15*C15</f>
        <v>736.66824069606</v>
      </c>
      <c r="E15" s="13" t="n">
        <f aca="false">E14+D15</f>
        <v>-115405.220246513</v>
      </c>
      <c r="F15" s="16" t="str">
        <f aca="false">IF(E15&gt;=0,"Sim","Não")</f>
        <v>Não</v>
      </c>
    </row>
    <row r="16" customFormat="false" ht="15" hidden="false" customHeight="true" outlineLevel="0" collapsed="false">
      <c r="A16" s="10" t="n">
        <v>5</v>
      </c>
      <c r="B16" s="12" t="n">
        <f aca="false">'Fluxo de Caixa'!G10</f>
        <v>8277.75</v>
      </c>
      <c r="C16" s="23" t="n">
        <f aca="false">1/(1+$B$7)^A16</f>
        <v>0.9142696387083</v>
      </c>
      <c r="D16" s="12" t="n">
        <f aca="false">B16*C16</f>
        <v>7568.09550181763</v>
      </c>
      <c r="E16" s="13" t="n">
        <f aca="false">E15+D16</f>
        <v>-107837.124744695</v>
      </c>
      <c r="F16" s="16" t="str">
        <f aca="false">IF(E16&gt;=0,"Sim","Não")</f>
        <v>Não</v>
      </c>
    </row>
    <row r="17" customFormat="false" ht="15" hidden="false" customHeight="true" outlineLevel="0" collapsed="false">
      <c r="A17" s="10" t="n">
        <v>6</v>
      </c>
      <c r="B17" s="12" t="n">
        <f aca="false">'Fluxo de Caixa'!G11</f>
        <v>19112.03</v>
      </c>
      <c r="C17" s="23" t="n">
        <f aca="false">1/(1+$B$7)^A17</f>
        <v>0.898026510133874</v>
      </c>
      <c r="D17" s="12" t="n">
        <f aca="false">B17*C17</f>
        <v>17163.1096024739</v>
      </c>
      <c r="E17" s="13" t="n">
        <f aca="false">E16+D17</f>
        <v>-90674.0151422214</v>
      </c>
      <c r="F17" s="16" t="str">
        <f aca="false">IF(E17&gt;=0,"Sim","Não")</f>
        <v>Não</v>
      </c>
    </row>
    <row r="18" customFormat="false" ht="15" hidden="false" customHeight="true" outlineLevel="0" collapsed="false">
      <c r="A18" s="10" t="n">
        <v>7</v>
      </c>
      <c r="B18" s="12" t="n">
        <f aca="false">'Fluxo de Caixa'!G12</f>
        <v>23422.75</v>
      </c>
      <c r="C18" s="23" t="n">
        <f aca="false">1/(1+$B$7)^A18</f>
        <v>0.882071960786752</v>
      </c>
      <c r="D18" s="12" t="n">
        <f aca="false">B18*C18</f>
        <v>20660.5510195179</v>
      </c>
      <c r="E18" s="13" t="n">
        <f aca="false">E17+D18</f>
        <v>-70013.4641227035</v>
      </c>
      <c r="F18" s="16" t="str">
        <f aca="false">IF(E18&gt;=0,"Sim","Não")</f>
        <v>Não</v>
      </c>
    </row>
    <row r="19" customFormat="false" ht="15" hidden="false" customHeight="true" outlineLevel="0" collapsed="false">
      <c r="A19" s="10" t="n">
        <v>8</v>
      </c>
      <c r="B19" s="12" t="n">
        <f aca="false">'Fluxo de Caixa'!G13</f>
        <v>34039.25</v>
      </c>
      <c r="C19" s="23" t="n">
        <f aca="false">1/(1+$B$7)^A19</f>
        <v>0.866400863700779</v>
      </c>
      <c r="D19" s="12" t="n">
        <f aca="false">B19*C19</f>
        <v>29491.6355997267</v>
      </c>
      <c r="E19" s="13" t="n">
        <f aca="false">E18+D19</f>
        <v>-40521.8285229768</v>
      </c>
      <c r="F19" s="16" t="str">
        <f aca="false">IF(E19&gt;=0,"Sim","Não")</f>
        <v>Não</v>
      </c>
    </row>
    <row r="20" customFormat="false" ht="15" hidden="false" customHeight="true" outlineLevel="0" collapsed="false">
      <c r="A20" s="10" t="n">
        <v>9</v>
      </c>
      <c r="B20" s="12" t="n">
        <f aca="false">'Fluxo de Caixa'!G14</f>
        <v>39404.6</v>
      </c>
      <c r="C20" s="23" t="n">
        <f aca="false">1/(1+$B$7)^A20</f>
        <v>0.851008182996684</v>
      </c>
      <c r="D20" s="12" t="n">
        <f aca="false">B20*C20</f>
        <v>33533.6370477111</v>
      </c>
      <c r="E20" s="13" t="n">
        <f aca="false">E19+D20</f>
        <v>-6988.19147526565</v>
      </c>
      <c r="F20" s="16" t="str">
        <f aca="false">IF(E20&gt;=0,"Sim","Não")</f>
        <v>Não</v>
      </c>
    </row>
    <row r="21" customFormat="false" ht="15" hidden="false" customHeight="true" outlineLevel="0" collapsed="false">
      <c r="A21" s="10" t="n">
        <v>10</v>
      </c>
      <c r="B21" s="12" t="n">
        <f aca="false">'Fluxo de Caixa'!G15</f>
        <v>50715.18</v>
      </c>
      <c r="C21" s="23" t="n">
        <f aca="false">1/(1+$B$7)^A21</f>
        <v>0.835888972263805</v>
      </c>
      <c r="D21" s="12" t="n">
        <f aca="false">B21*C21</f>
        <v>42392.2596883739</v>
      </c>
      <c r="E21" s="13" t="n">
        <f aca="false">E20+D21</f>
        <v>35404.0682131083</v>
      </c>
      <c r="F21" s="16" t="str">
        <f aca="false">IF(E21&gt;=0,"Sim","Não")</f>
        <v>Sim</v>
      </c>
    </row>
    <row r="22" customFormat="false" ht="15" hidden="false" customHeight="true" outlineLevel="0" collapsed="false">
      <c r="A22" s="10" t="n">
        <v>11</v>
      </c>
      <c r="B22" s="12" t="n">
        <f aca="false">'Fluxo de Caixa'!G16</f>
        <v>56290.51</v>
      </c>
      <c r="C22" s="23" t="n">
        <f aca="false">1/(1+$B$7)^A22</f>
        <v>0.821038372970573</v>
      </c>
      <c r="D22" s="12" t="n">
        <f aca="false">B22*C22</f>
        <v>46216.6687440838</v>
      </c>
      <c r="E22" s="13" t="n">
        <f aca="false">E21+D22</f>
        <v>81620.736957192</v>
      </c>
      <c r="F22" s="16" t="str">
        <f aca="false">IF(E22&gt;=0,"Sim","Não")</f>
        <v>Sim</v>
      </c>
    </row>
    <row r="23" customFormat="false" ht="15" hidden="false" customHeight="true" outlineLevel="0" collapsed="false">
      <c r="A23" s="10" t="n">
        <v>12</v>
      </c>
      <c r="B23" s="12" t="n">
        <f aca="false">'Fluxo de Caixa'!G17</f>
        <v>67388.04</v>
      </c>
      <c r="C23" s="23" t="n">
        <f aca="false">1/(1+$B$7)^A23</f>
        <v>0.806451612903225</v>
      </c>
      <c r="D23" s="12" t="n">
        <f aca="false">B23*C23</f>
        <v>54345.1935483871</v>
      </c>
      <c r="E23" s="13" t="n">
        <f aca="false">E22+D23</f>
        <v>135965.930505579</v>
      </c>
      <c r="F23" s="16" t="str">
        <f aca="false">IF(E23&gt;=0,"Sim","Não")</f>
        <v>Sim</v>
      </c>
    </row>
    <row r="24" customFormat="false" ht="15" hidden="false" customHeight="true" outlineLevel="0" collapsed="false">
      <c r="A24" s="10" t="n">
        <v>13</v>
      </c>
      <c r="B24" s="12" t="n">
        <f aca="false">'Fluxo de Caixa'!G18</f>
        <v>76192.01</v>
      </c>
      <c r="C24" s="23" t="n">
        <f aca="false">1/(1+$B$7)^A24</f>
        <v>0.79212400463227</v>
      </c>
      <c r="D24" s="12" t="n">
        <f aca="false">B24*C24</f>
        <v>60353.520082182</v>
      </c>
      <c r="E24" s="13" t="n">
        <f aca="false">E23+D24</f>
        <v>196319.450587761</v>
      </c>
      <c r="F24" s="16" t="str">
        <f aca="false">IF(E24&gt;=0,"Sim","Não")</f>
        <v>Sim</v>
      </c>
    </row>
    <row r="25" customFormat="false" ht="15" hidden="false" customHeight="true" outlineLevel="0" collapsed="false">
      <c r="A25" s="10" t="n">
        <v>14</v>
      </c>
      <c r="B25" s="12" t="n">
        <f aca="false">'Fluxo de Caixa'!G19</f>
        <v>84540.85</v>
      </c>
      <c r="C25" s="23" t="n">
        <f aca="false">1/(1+$B$7)^A25</f>
        <v>0.778050944006185</v>
      </c>
      <c r="D25" s="12" t="n">
        <f aca="false">B25*C25</f>
        <v>65777.0881495853</v>
      </c>
      <c r="E25" s="13" t="n">
        <f aca="false">E24+D25</f>
        <v>262096.538737346</v>
      </c>
      <c r="F25" s="16" t="str">
        <f aca="false">IF(E25&gt;=0,"Sim","Não")</f>
        <v>Sim</v>
      </c>
    </row>
    <row r="26" customFormat="false" ht="15" hidden="false" customHeight="true" outlineLevel="0" collapsed="false">
      <c r="A26" s="10" t="n">
        <v>15</v>
      </c>
      <c r="B26" s="12" t="n">
        <f aca="false">'Fluxo de Caixa'!G20</f>
        <v>92814.21</v>
      </c>
      <c r="C26" s="23" t="n">
        <f aca="false">1/(1+$B$7)^A26</f>
        <v>0.764227908671882</v>
      </c>
      <c r="D26" s="12" t="n">
        <f aca="false">B26*C26</f>
        <v>70931.2096033328</v>
      </c>
      <c r="E26" s="13" t="n">
        <f aca="false">E25+D26</f>
        <v>333027.748340679</v>
      </c>
      <c r="F26" s="16" t="str">
        <f aca="false">IF(E26&gt;=0,"Sim","Não")</f>
        <v>Sim</v>
      </c>
    </row>
    <row r="27" customFormat="false" ht="15" hidden="false" customHeight="true" outlineLevel="0" collapsed="false">
      <c r="A27" s="10" t="n">
        <v>16</v>
      </c>
      <c r="B27" s="12" t="n">
        <f aca="false">'Fluxo de Caixa'!G21</f>
        <v>101840.56</v>
      </c>
      <c r="C27" s="23" t="n">
        <f aca="false">1/(1+$B$7)^A27</f>
        <v>0.750650456621456</v>
      </c>
      <c r="D27" s="12" t="n">
        <f aca="false">B27*C27</f>
        <v>76446.6628665848</v>
      </c>
      <c r="E27" s="13" t="n">
        <f aca="false">E26+D27</f>
        <v>409474.411207264</v>
      </c>
      <c r="F27" s="16" t="str">
        <f aca="false">IF(E27&gt;=0,"Sim","Não")</f>
        <v>Sim</v>
      </c>
    </row>
    <row r="28" customFormat="false" ht="15" hidden="false" customHeight="true" outlineLevel="0" collapsed="false">
      <c r="A28" s="10" t="n">
        <v>17</v>
      </c>
      <c r="B28" s="12" t="n">
        <f aca="false">'Fluxo de Caixa'!G22</f>
        <v>111040.81</v>
      </c>
      <c r="C28" s="23" t="n">
        <f aca="false">1/(1+$B$7)^A28</f>
        <v>0.737314224764758</v>
      </c>
      <c r="D28" s="12" t="n">
        <f aca="false">B28*C28</f>
        <v>81871.9687424008</v>
      </c>
      <c r="E28" s="13" t="n">
        <f aca="false">E27+D28</f>
        <v>491346.379949665</v>
      </c>
      <c r="F28" s="16" t="str">
        <f aca="false">IF(E28&gt;=0,"Sim","Não")</f>
        <v>Sim</v>
      </c>
    </row>
    <row r="29" customFormat="false" ht="15" hidden="false" customHeight="true" outlineLevel="0" collapsed="false">
      <c r="A29" s="10" t="n">
        <v>18</v>
      </c>
      <c r="B29" s="12" t="n">
        <f aca="false">'Fluxo de Caixa'!G23</f>
        <v>121144.29</v>
      </c>
      <c r="C29" s="23" t="n">
        <f aca="false">1/(1+$B$7)^A29</f>
        <v>0.724214927527318</v>
      </c>
      <c r="D29" s="12" t="n">
        <f aca="false">B29*C29</f>
        <v>87734.5032026983</v>
      </c>
      <c r="E29" s="13" t="n">
        <f aca="false">E28+D29</f>
        <v>579080.883152363</v>
      </c>
      <c r="F29" s="16" t="str">
        <f aca="false">IF(E29&gt;=0,"Sim","Não")</f>
        <v>Sim</v>
      </c>
    </row>
    <row r="30" customFormat="false" ht="15" hidden="false" customHeight="true" outlineLevel="0" collapsed="false">
      <c r="A30" s="10" t="n">
        <v>19</v>
      </c>
      <c r="B30" s="12" t="n">
        <f aca="false">'Fluxo de Caixa'!G24</f>
        <v>130966.8</v>
      </c>
      <c r="C30" s="23" t="n">
        <f aca="false">1/(1+$B$7)^A30</f>
        <v>0.711348355473187</v>
      </c>
      <c r="D30" s="12" t="n">
        <f aca="false">B30*C30</f>
        <v>93163.0178015857</v>
      </c>
      <c r="E30" s="13" t="n">
        <f aca="false">E29+D30</f>
        <v>672243.900953949</v>
      </c>
      <c r="F30" s="16" t="str">
        <f aca="false">IF(E30&gt;=0,"Sim","Não")</f>
        <v>Sim</v>
      </c>
    </row>
    <row r="31" customFormat="false" ht="15" hidden="false" customHeight="true" outlineLevel="0" collapsed="false">
      <c r="A31" s="10" t="n">
        <v>20</v>
      </c>
      <c r="B31" s="12" t="n">
        <f aca="false">'Fluxo de Caixa'!G25</f>
        <v>143982.38</v>
      </c>
      <c r="C31" s="23" t="n">
        <f aca="false">1/(1+$B$7)^A31</f>
        <v>0.698710373952241</v>
      </c>
      <c r="D31" s="12" t="n">
        <f aca="false">B31*C31</f>
        <v>100601.982572334</v>
      </c>
      <c r="E31" s="13" t="n">
        <f aca="false">E30+D31</f>
        <v>772845.883526283</v>
      </c>
      <c r="F31" s="16" t="str">
        <f aca="false">IF(E31&gt;=0,"Sim","Não")</f>
        <v>Sim</v>
      </c>
    </row>
    <row r="32" customFormat="false" ht="15" hidden="false" customHeight="true" outlineLevel="0" collapsed="false">
      <c r="A32" s="10" t="n">
        <v>21</v>
      </c>
      <c r="B32" s="12" t="n">
        <f aca="false">'Fluxo de Caixa'!G26</f>
        <v>149241.25</v>
      </c>
      <c r="C32" s="23" t="n">
        <f aca="false">1/(1+$B$7)^A32</f>
        <v>0.686296921771519</v>
      </c>
      <c r="D32" s="12" t="n">
        <f aca="false">B32*C32</f>
        <v>102423.810476334</v>
      </c>
      <c r="E32" s="13" t="n">
        <f aca="false">E31+D32</f>
        <v>875269.694002616</v>
      </c>
      <c r="F32" s="16" t="str">
        <f aca="false">IF(E32&gt;=0,"Sim","Não")</f>
        <v>Sim</v>
      </c>
    </row>
    <row r="33" customFormat="false" ht="15" hidden="false" customHeight="true" outlineLevel="0" collapsed="false">
      <c r="A33" s="10" t="n">
        <v>22</v>
      </c>
      <c r="B33" s="12" t="n">
        <f aca="false">'Fluxo de Caixa'!G27</f>
        <v>155103.07</v>
      </c>
      <c r="C33" s="23" t="n">
        <f aca="false">1/(1+$B$7)^A33</f>
        <v>0.674104009890165</v>
      </c>
      <c r="D33" s="12" t="n">
        <f aca="false">B33*C33</f>
        <v>104555.601433275</v>
      </c>
      <c r="E33" s="13" t="n">
        <f aca="false">E32+D33</f>
        <v>979825.295435891</v>
      </c>
      <c r="F33" s="16" t="str">
        <f aca="false">IF(E33&gt;=0,"Sim","Não")</f>
        <v>Sim</v>
      </c>
    </row>
    <row r="34" customFormat="false" ht="15" hidden="false" customHeight="true" outlineLevel="0" collapsed="false">
      <c r="A34" s="10" t="n">
        <v>23</v>
      </c>
      <c r="B34" s="12" t="n">
        <f aca="false">'Fluxo de Caixa'!G28</f>
        <v>160782.98</v>
      </c>
      <c r="C34" s="23" t="n">
        <f aca="false">1/(1+$B$7)^A34</f>
        <v>0.662127720137558</v>
      </c>
      <c r="D34" s="12" t="n">
        <f aca="false">B34*C34</f>
        <v>106458.867984323</v>
      </c>
      <c r="E34" s="13" t="n">
        <f aca="false">E33+D34</f>
        <v>1086284.16342021</v>
      </c>
      <c r="F34" s="16" t="str">
        <f aca="false">IF(E34&gt;=0,"Sim","Não")</f>
        <v>Sim</v>
      </c>
    </row>
    <row r="35" customFormat="false" ht="15" hidden="false" customHeight="true" outlineLevel="0" collapsed="false">
      <c r="A35" s="10" t="n">
        <v>24</v>
      </c>
      <c r="B35" s="12" t="n">
        <f aca="false">'Fluxo de Caixa'!G29</f>
        <v>206907.23</v>
      </c>
      <c r="C35" s="23" t="n">
        <f aca="false">1/(1+$B$7)^A35</f>
        <v>0.650364203954214</v>
      </c>
      <c r="D35" s="12" t="n">
        <f aca="false">B35*C35</f>
        <v>134565.055931321</v>
      </c>
      <c r="E35" s="13" t="n">
        <f aca="false">E34+D35</f>
        <v>1220849.21935154</v>
      </c>
      <c r="F35" s="16" t="str">
        <f aca="false">IF(E35&gt;=0,"Sim","Não")</f>
        <v>Sim</v>
      </c>
    </row>
    <row r="37" customFormat="false" ht="15" hidden="false" customHeight="true" outlineLevel="0" collapsed="false">
      <c r="A37" s="4" t="s">
        <v>64</v>
      </c>
      <c r="B37" s="7"/>
      <c r="C37" s="7"/>
      <c r="D37" s="7"/>
      <c r="E37" s="7"/>
      <c r="F37" s="7"/>
      <c r="G37" s="7"/>
    </row>
    <row r="38" customFormat="false" ht="15" hidden="false" customHeight="true" outlineLevel="0" collapsed="false">
      <c r="A38" s="3" t="s">
        <v>65</v>
      </c>
      <c r="B38" s="24" t="n">
        <f aca="false">SUM(D11:D35)</f>
        <v>1220849.21935154</v>
      </c>
      <c r="C38" s="25" t="str">
        <f aca="false">IF(B38&gt;0,"VIÁVEL: o projeto gera mais do que a taxa exigida",IF(B38&lt;0,"INVIÁVEL: o projeto rende menos que a taxa exigida","EQUILÍBRIO: rende exatamente a taxa exigida"))</f>
        <v>VIÁVEL: o projeto gera mais do que a taxa exigida</v>
      </c>
    </row>
    <row r="39" customFormat="false" ht="15" hidden="false" customHeight="true" outlineLevel="0" collapsed="false">
      <c r="A39" s="3" t="s">
        <v>66</v>
      </c>
      <c r="B39" s="26" t="n">
        <f aca="false">IFERROR(IRR(B11:B35),"Não calculável")</f>
        <v>0.196259804548004</v>
      </c>
      <c r="C39" s="25" t="str">
        <f aca="false">IF(ISNUMBER(B39),IF(B39&gt;B7,"VIÁVEL: TIR maior que a taxa de desconto","INVIÁVEL: TIR menor ou igual à taxa de desconto"),"Sem TIR: o fluxo precisa ter valores negativos E positivos")</f>
        <v>VIÁVEL: TIR maior que a taxa de desconto</v>
      </c>
    </row>
    <row r="40" customFormat="false" ht="15" hidden="false" customHeight="true" outlineLevel="0" collapsed="false">
      <c r="A40" s="3" t="s">
        <v>67</v>
      </c>
      <c r="B40" s="26" t="n">
        <f aca="false">IF(ISNUMBER(B39),IF(B6="Mensal",(1+B39)^12-1,B39),"Não calculável")</f>
        <v>7.58827858063135</v>
      </c>
      <c r="C40" s="25" t="str">
        <f aca="false">"Compare com a taxa anual de "&amp;ROUND(B5*100,2)&amp;"%"</f>
        <v>Compare com a taxa anual de 24%</v>
      </c>
    </row>
    <row r="41" customFormat="false" ht="15" hidden="false" customHeight="true" outlineLevel="0" collapsed="false">
      <c r="A41" s="3" t="s">
        <v>68</v>
      </c>
      <c r="B41" s="24" t="n">
        <f aca="false">'Fluxo de Caixa'!F5</f>
        <v>102000</v>
      </c>
      <c r="C41" s="25" t="str">
        <f aca="false">IF(B41=0,"Atenção: informe o investimento no período 0 da aba Fluxo de Caixa","")</f>
        <v/>
      </c>
    </row>
    <row r="42" customFormat="false" ht="15" hidden="false" customHeight="true" outlineLevel="0" collapsed="false">
      <c r="A42" s="3" t="s">
        <v>69</v>
      </c>
      <c r="B42" s="26" t="n">
        <f aca="false">IF(B41=0,"-",B38/B41)</f>
        <v>11.9691099936425</v>
      </c>
      <c r="C42" s="25" t="str">
        <f aca="false">"Para cada R$ 100 de investimento inicial, o projeto gera R$ "&amp;IF(ISNUMBER(B42),ROUND(B42*100,2),"-")&amp;" de VPL acima da taxa exigida"</f>
        <v>Para cada R$ 100 de investimento inicial, o projeto gera R$ 1196.91 de VPL acima da taxa exigida</v>
      </c>
    </row>
    <row r="43" customFormat="false" ht="15" hidden="false" customHeight="true" outlineLevel="0" collapsed="false">
      <c r="A43" s="3" t="s">
        <v>46</v>
      </c>
      <c r="B43" s="27" t="n">
        <f aca="false">'Necessidade de Caixa e Payback'!F33</f>
        <v>9</v>
      </c>
      <c r="C43" s="25" t="str">
        <f aca="false">"Período em que o saldo acumulado (sem descontar) fica positivo"</f>
        <v>Período em que o saldo acumulado (sem descontar) fica positivo</v>
      </c>
    </row>
    <row r="44" customFormat="false" ht="15" hidden="false" customHeight="true" outlineLevel="0" collapsed="false">
      <c r="A44" s="3" t="s">
        <v>70</v>
      </c>
      <c r="B44" s="27" t="n">
        <f aca="false">IFERROR(INDEX(A11:A35,MATCH("Sim",F11:F35,0)),"Não recupera")</f>
        <v>10</v>
      </c>
      <c r="C44" s="25" t="str">
        <f aca="false">"Período em que o VP acumulado fica positivo"</f>
        <v>Período em que o VP acumulado fica positivo</v>
      </c>
    </row>
    <row r="45" customFormat="false" ht="15" hidden="false" customHeight="true" outlineLevel="0" collapsed="false">
      <c r="A45" s="3" t="s">
        <v>71</v>
      </c>
      <c r="B45" s="24" t="n">
        <f aca="false">'Necessidade de Caixa e Payback'!F32</f>
        <v>118526.3</v>
      </c>
      <c r="C45" s="25" t="str">
        <f aca="false">"Dinheiro que os sócios precisam ter para cobrir o pior momento"</f>
        <v>Dinheiro que os sócios precisam ter para cobrir o pior momento</v>
      </c>
    </row>
    <row r="47" customFormat="false" ht="15" hidden="false" customHeight="true" outlineLevel="0" collapsed="false">
      <c r="A47" s="4" t="s">
        <v>72</v>
      </c>
      <c r="B47" s="7"/>
      <c r="C47" s="7"/>
      <c r="D47" s="7"/>
      <c r="E47" s="7"/>
      <c r="F47" s="7"/>
      <c r="G47" s="7"/>
    </row>
    <row r="48" customFormat="false" ht="15" hidden="false" customHeight="true" outlineLevel="0" collapsed="false">
      <c r="A48" s="28" t="s">
        <v>73</v>
      </c>
    </row>
    <row r="49" customFormat="false" ht="15" hidden="false" customHeight="true" outlineLevel="0" collapsed="false">
      <c r="A49" s="28" t="s">
        <v>74</v>
      </c>
    </row>
    <row r="50" customFormat="false" ht="15" hidden="false" customHeight="true" outlineLevel="0" collapsed="false">
      <c r="A50" s="28" t="s">
        <v>75</v>
      </c>
    </row>
    <row r="51" customFormat="false" ht="15" hidden="false" customHeight="true" outlineLevel="0" collapsed="false">
      <c r="A51" s="28" t="s">
        <v>76</v>
      </c>
    </row>
    <row r="52" customFormat="false" ht="15" hidden="false" customHeight="true" outlineLevel="0" collapsed="false">
      <c r="A52" s="28" t="s">
        <v>77</v>
      </c>
    </row>
    <row r="53" customFormat="false" ht="15" hidden="false" customHeight="true" outlineLevel="0" collapsed="false">
      <c r="A53" s="28" t="s">
        <v>78</v>
      </c>
    </row>
  </sheetData>
  <sheetProtection sheet="true"/>
  <conditionalFormatting sqref="E11:E35">
    <cfRule type="expression" priority="2" aboveAverage="0" equalAverage="0" bottom="0" percent="0" rank="0" text="" dxfId="0">
      <formula>E11&lt;0</formula>
    </cfRule>
  </conditionalFormatting>
  <conditionalFormatting sqref="C38">
    <cfRule type="expression" priority="3" aboveAverage="0" equalAverage="0" bottom="0" percent="0" rank="0" text="" dxfId="1">
      <formula>LEFT($C$38,6)="VIÁVEL"</formula>
    </cfRule>
    <cfRule type="expression" priority="4" aboveAverage="0" equalAverage="0" bottom="0" percent="0" rank="0" text="" dxfId="2">
      <formula>LEFT($C$38,8)="INVIÁVEL"</formula>
    </cfRule>
  </conditionalFormatting>
  <conditionalFormatting sqref="C39">
    <cfRule type="expression" priority="5" aboveAverage="0" equalAverage="0" bottom="0" percent="0" rank="0" text="" dxfId="1">
      <formula>LEFT($C$39,6)="VIÁVEL"</formula>
    </cfRule>
    <cfRule type="expression" priority="6" aboveAverage="0" equalAverage="0" bottom="0" percent="0" rank="0" text="" dxfId="2">
      <formula>LEFT($C$39,8)="INVIÁVEL"</formula>
    </cfRule>
  </conditionalFormatting>
  <conditionalFormatting sqref="C41">
    <cfRule type="expression" priority="7" aboveAverage="0" equalAverage="0" bottom="0" percent="0" rank="0" text="" dxfId="3">
      <formula>LEN($C$41)&gt;0</formula>
    </cfRule>
  </conditionalFormatting>
  <dataValidations count="2">
    <dataValidation allowBlank="false" error="Escolha Mensal ou Anual." errorStyle="stop" errorTitle="Valor inválido" operator="between" showDropDown="false" showErrorMessage="true" showInputMessage="false" sqref="B6" type="list">
      <formula1>"Mensal,Anual"</formula1>
      <formula2>0</formula2>
    </dataValidation>
    <dataValidation allowBlank="false" error="Digite a taxa com o símbolo %, por exemplo 15%. O valor deve estar entre 0% e 100% ao ano." errorStyle="stop" errorTitle="Taxa inválida" operator="between" prompt="Digite com o símbolo %: ex. 15%" promptTitle="Taxa anual" showDropDown="false" showErrorMessage="true" showInputMessage="true" sqref="B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2026-10-06T22:56:11Z</dcterms:created>
  <dc:creator>openpyxl</dc:creator>
  <dc:description/>
  <dc:language>en-US</dc:language>
  <cp:lastModifiedBy/>
  <dcterms:modified xsi:type="dcterms:W3CDTF">2026-10-21T00:47:38Z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QE7_ATwDaE3lVnAA0nKYXgI9mCHbLuj4aSfINcxKQ6o</vt:lpwstr>
  </property>
</Properties>
</file>