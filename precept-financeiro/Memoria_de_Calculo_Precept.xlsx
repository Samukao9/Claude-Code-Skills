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Premissas Precept" sheetId="2" state="visible" r:id="rId4"/>
    <sheet name="Projeção Mensal" sheetId="3" state="visible" r:id="rId5"/>
    <sheet name="Fluxo de Caixa" sheetId="4" state="visible" r:id="rId6"/>
    <sheet name="Necessidade de Caixa e Payback" sheetId="5" state="visible" r:id="rId7"/>
    <sheet name="VPL e TI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Receita total do período: preço de venda × quantidade vendida.</t>
        </r>
      </text>
    </comment>
    <comment ref="C4" authorId="0">
      <text>
        <r>
          <rPr>
            <sz val="10"/>
            <rFont val="Arial"/>
            <family val="2"/>
          </rPr>
          <t xml:space="preserve">Custos que aumentam quando as vendas aumentam: matéria-prima, embalagem, comissões, impostos sobre a venda, taxas de cartão.</t>
        </r>
      </text>
    </comment>
    <comment ref="D4" authorId="0">
      <text>
        <r>
          <rPr>
            <sz val="10"/>
            <rFont val="Arial"/>
            <family val="2"/>
          </rPr>
          <t xml:space="preserve">Custos que existem mesmo sem vender: aluguel, salários, pró-labore, internet, contador.</t>
        </r>
      </text>
    </comment>
    <comment ref="E4" authorId="0">
      <text>
        <r>
          <rPr>
            <sz val="10"/>
            <rFont val="Arial"/>
            <family val="2"/>
          </rPr>
          <t xml:space="preserve">Automático: Vendas − Despesas variáveis − Despesas fixas. Mostra se a operação do mês dá lucro ou prejuízo.</t>
        </r>
      </text>
    </comment>
    <comment ref="F4" authorId="0">
      <text>
        <r>
          <rPr>
            <sz val="10"/>
            <rFont val="Arial"/>
            <family val="2"/>
          </rPr>
          <t xml:space="preserve">Gastos para montar ou ampliar o negócio. O investimento inicial vai no período 0. Novos investimentos podem entrar em qualquer período.</t>
        </r>
      </text>
    </comment>
    <comment ref="G4" authorId="0">
      <text>
        <r>
          <rPr>
            <sz val="10"/>
            <rFont val="Arial"/>
            <family val="2"/>
          </rPr>
          <t xml:space="preserve">Automático: Resultado operacional − Investimentos. É o valor usado no VPL e na TIR.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Copiado da aba Fluxo de Caixa.</t>
        </r>
      </text>
    </comment>
    <comment ref="G4" authorId="0">
      <text>
        <r>
          <rPr>
            <sz val="10"/>
            <rFont val="Arial"/>
            <family val="2"/>
          </rPr>
          <t xml:space="preserve">Soma de todos os fluxos até este período. Negativo = os sócios ainda estão bancando o negócio.</t>
        </r>
      </text>
    </comment>
    <comment ref="H4" authorId="0">
      <text>
        <r>
          <rPr>
            <sz val="10"/>
            <rFont val="Arial"/>
            <family val="2"/>
          </rPr>
          <t xml:space="preserve">"Sim" a partir do período em que o saldo acumulado fica ≥ 0.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0" authorId="0">
      <text>
        <r>
          <rPr>
            <sz val="10"/>
            <rFont val="Arial"/>
            <family val="2"/>
          </rPr>
          <t xml:space="preserve">Copiado da coluna Fluxo de Caixa Líquido.</t>
        </r>
      </text>
    </comment>
    <comment ref="C10" authorId="0">
      <text>
        <r>
          <rPr>
            <sz val="10"/>
            <rFont val="Arial"/>
            <family val="2"/>
          </rPr>
          <t xml:space="preserve">1 / (1 + taxa por período)^período. Quanto R$ 1 recebido neste período vale hoje.</t>
        </r>
      </text>
    </comment>
    <comment ref="D10" authorId="0">
      <text>
        <r>
          <rPr>
            <sz val="10"/>
            <rFont val="Arial"/>
            <family val="2"/>
          </rPr>
          <t xml:space="preserve">Fluxo × Fator de desconto: o valor do fluxo em dinheiro de hoje.</t>
        </r>
      </text>
    </comment>
    <comment ref="E10" authorId="0">
      <text>
        <r>
          <rPr>
            <sz val="10"/>
            <rFont val="Arial"/>
            <family val="2"/>
          </rPr>
          <t xml:space="preserve">Soma dos valores presentes até o período. Quando fica ≥ 0, o investimento foi recuperado já considerando a taxa.</t>
        </r>
      </text>
    </comment>
    <comment ref="F10" authorId="0">
      <text>
        <r>
          <rPr>
            <sz val="10"/>
            <rFont val="Arial"/>
            <family val="2"/>
          </rPr>
          <t xml:space="preserve">"Sim" a partir do período em que o VP acumulado fica ≥ 0.</t>
        </r>
      </text>
    </comment>
  </commentList>
</comments>
</file>

<file path=xl/sharedStrings.xml><?xml version="1.0" encoding="utf-8"?>
<sst xmlns="http://schemas.openxmlformats.org/spreadsheetml/2006/main" count="298" uniqueCount="284">
  <si>
    <t xml:space="preserve">PLANILHA DE ANÁLISE FINANCEIRA – VPL, TIR E PAYBACK</t>
  </si>
  <si>
    <t xml:space="preserve">Viabilidade de projetos empreendedores – Projetos Empreendedores, Mackenzie</t>
  </si>
  <si>
    <t xml:space="preserve">PASSO A PASSO</t>
  </si>
  <si>
    <t xml:space="preserve">1. Aba Fluxo de Caixa: preencha SÓ as células CINZAS (vendas, despesas e investimentos de cada período).</t>
  </si>
  <si>
    <t xml:space="preserve">2. Período 0 = hoje, antes de começar a vender. Coloque ali o investimento inicial (equipamentos, reforma, abertura da empresa etc.).</t>
  </si>
  <si>
    <t xml:space="preserve">3. Períodos 1 a 24 = meses (ou anos) de operação. Se o projeto durar menos, deixe os períodos restantes em branco.</t>
  </si>
  <si>
    <t xml:space="preserve">4. Aba VPL e TIR: informe a taxa de desconto ANUAL e se os períodos são meses ou anos. A planilha converte a taxa sozinha.</t>
  </si>
  <si>
    <t xml:space="preserve">5. Leia os resultados (VPL, TIR, payback) e a frase de decisão. Células AZUIS são automáticas e estão protegidas.</t>
  </si>
  <si>
    <t xml:space="preserve">LEGENDA DE CORES</t>
  </si>
  <si>
    <t xml:space="preserve">Cinza = você preenche   |   Azul = cálculo automático   |   Amarelo = resultado principal   |   Verde/vermelho = viável/inviável</t>
  </si>
  <si>
    <t xml:space="preserve">Passe o mouse sobre os títulos das colunas para ver a explicação de cada uma.</t>
  </si>
  <si>
    <t xml:space="preserve">GLOSSÁRIO</t>
  </si>
  <si>
    <t xml:space="preserve">Vendas brutas: tudo o que entra com a venda dos produtos/serviços no período (preço × quantidade).</t>
  </si>
  <si>
    <t xml:space="preserve">Despesas variáveis: custos que crescem com as vendas (matéria-prima, embalagem, comissão, impostos sobre a venda, taxa de cartão).</t>
  </si>
  <si>
    <t xml:space="preserve">Despesas fixas: custos que existem mesmo sem vender (aluguel, salários, internet, contador, pró-labore).</t>
  </si>
  <si>
    <t xml:space="preserve">Investimento: gasto para montar ou ampliar o negócio (máquinas, reforma, estoque inicial, capital de giro inicial).</t>
  </si>
  <si>
    <t xml:space="preserve">Fluxo de caixa líquido: Vendas − Despesas variáveis − Despesas fixas − Investimento. É o dinheiro que sobra (ou falta) no período.</t>
  </si>
  <si>
    <t xml:space="preserve">Taxa de desconto (TMA): retorno mínimo que vocês exigem do projeto. Referência prática: rendimento de uma aplicação segura (ex.: Selic/CDI) + um prêmio pelo risco.</t>
  </si>
  <si>
    <t xml:space="preserve">VPL (Valor Presente Líquido): soma de todos os fluxos trazidos para o valor de hoje. VPL &gt; 0 → o projeto rende mais que a taxa exigida → VIÁVEL.</t>
  </si>
  <si>
    <t xml:space="preserve">TIR (Taxa Interna de Retorno): a taxa que zera o VPL. TIR &gt; taxa de desconto → VIÁVEL. Só existe se o fluxo tiver valores negativos e positivos.</t>
  </si>
  <si>
    <t xml:space="preserve">Payback simples: primeiro período (mês ou ano inteiro) em que o saldo acumulado deixa de ser negativo — o investimento foi recuperado.</t>
  </si>
  <si>
    <t xml:space="preserve">Payback descontado: o mesmo, mas usando os valores já descontados pela taxa. É mais rigoroso e sempre igual ou maior que o simples.</t>
  </si>
  <si>
    <t xml:space="preserve">Necessidade máxima de caixa: o pior saldo acumulado. É quanto dinheiro os sócios precisam ter disponível para o negócio não quebrar.</t>
  </si>
  <si>
    <t xml:space="preserve">CUIDADOS</t>
  </si>
  <si>
    <t xml:space="preserve">• A taxa deve ser coerente com o período: fluxo mensal usa taxa mensal. Por isso você digita a taxa anual e a planilha converte.</t>
  </si>
  <si>
    <t xml:space="preserve">• Use valores realistas e justifique de onde vieram (pesquisa de preço, orçamento de fornecedor, dados de mercado).</t>
  </si>
  <si>
    <t xml:space="preserve">• Teste cenários: pessimista, provável e otimista. Salve uma cópia do arquivo para cada cenário.</t>
  </si>
  <si>
    <t xml:space="preserve">• Os valores que já vêm na planilha são apenas EXEMPLO. Substitua pelos dados do seu projeto.</t>
  </si>
  <si>
    <t xml:space="preserve">PREMISSAS DA PRECEPT – BASE DA FICHA DE LEVANTAMENTO FINANCEIRO</t>
  </si>
  <si>
    <t xml:space="preserve">Células CINZAS = premissas (podem ser alteradas para testar cenários). Células AZUIS = cálculo automático. Tudo aqui alimenta a aba Projeção Mensal, que alimenta a aba Fluxo de Caixa.</t>
  </si>
  <si>
    <t xml:space="preserve">1. PREÇOS E RECEITA</t>
  </si>
  <si>
    <t xml:space="preserve">Precept Core – plano Essencial (R$/mês)</t>
  </si>
  <si>
    <t xml:space="preserve">Faixa de preço do pitch (R$ 997 a R$ 1.497, conforme o porte). Referência de mercado: ADVBOX R$ 220–1.800/mês; Astrea R$ 209–1.249/mês (sites oficiais, out/2026).</t>
  </si>
  <si>
    <t xml:space="preserve">Precept Core – plano Avançado (R$/mês)</t>
  </si>
  <si>
    <t xml:space="preserve">Topo da faixa do pitch, para operações maiores (mais advogados, mais áreas, mais integrações).</t>
  </si>
  <si>
    <t xml:space="preserve">% dos clientes Core no plano Essencial</t>
  </si>
  <si>
    <t xml:space="preserve">Hipótese: a maioria dos escritórios de R$ 1–10 mi/ano está na parte de baixo da faixa de faturamento.</t>
  </si>
  <si>
    <t xml:space="preserve">Ticket médio Core (R$/mês)</t>
  </si>
  <si>
    <t xml:space="preserve">Média ponderada dos dois planos.</t>
  </si>
  <si>
    <t xml:space="preserve">Precept Sprint – planejamento de 7 dias (R$ por imersão)</t>
  </si>
  <si>
    <t xml:space="preserve">Preço definido pelo grupo: planejamento estratégico e tático em 7 dias imersivos. Recebido no mês da venda (Pix ou cartão). No ano 2, também vendido para escritórios fora da base Core (4 a 5 por mês), no modelo das imersões da G4.</t>
  </si>
  <si>
    <t xml:space="preserve">Precept Scale – implementação (R$ por projeto)</t>
  </si>
  <si>
    <t xml:space="preserve">Preço proposto para o início da operação: 3× o Sprint, equivalente a ~R$ 5 mil por mês de entrega, abaixo de consultorias de gestão para PMEs (R$ 8–15 mil/mês). Cerca de 1% a 3% do faturamento anual de um escritório de R$ 1–4 mi. Recebido no mês da venda (Pix ou cartão).</t>
  </si>
  <si>
    <t xml:space="preserve">Duração da implementação do Scale (meses)</t>
  </si>
  <si>
    <t xml:space="preserve">Entrega em 6 meses, 1 pilar implementado por mês. O pagamento não depende da duração.</t>
  </si>
  <si>
    <t xml:space="preserve">Recebimento do Sprint e do Scale</t>
  </si>
  <si>
    <t xml:space="preserve">Mês da venda</t>
  </si>
  <si>
    <t xml:space="preserve">Valor cheio no mês da venda: Pix à vista ou cartão parcelado pelo cliente, com a operadora antecipando o valor para a Precept.</t>
  </si>
  <si>
    <t xml:space="preserve">2. DESPESAS VARIÁVEIS</t>
  </si>
  <si>
    <t xml:space="preserve">Tokens de IA e nuvem por cliente Core ativo (R$/mês)</t>
  </si>
  <si>
    <t xml:space="preserve">API Claude Sonnet 4.6: US$ 3 (entrada) e US$ 15 (saída) por milhão de tokens. ~3 mi de entrada + 0,5 mi de saída por cliente ≈ US$ 16,5 ≈ R$ 90 (câmbio ~R$ 5,50).</t>
  </si>
  <si>
    <t xml:space="preserve">Meio de pagamento – Pix, boleto e cartão (% da venda)</t>
  </si>
  <si>
    <t xml:space="preserve">Asaas: Pix e boleto R$ 1,99 por cobrança; cartão à vista 2,99% + R$ 0,49; parcelado em 2 a 6x 3,49% + R$ 0,49, mais a antecipação (asaas.com/precos-e-taxas). Média ponderada ≈ 2%, supondo a maioria dos pagamentos via Pix ou boleto.</t>
  </si>
  <si>
    <t xml:space="preserve">Comissão de parceiros (% da receita de Sprint e Scale)</t>
  </si>
  <si>
    <t xml:space="preserve">10% para parceiros que indicam (contadores, associações de advocacia) em cerca de metade das vendas de Sprint e Scale.</t>
  </si>
  <si>
    <t xml:space="preserve">Especialistas na entrega (% da receita de Sprint e Scale)</t>
  </si>
  <si>
    <t xml:space="preserve">Gestores e empresários experientes pagos por projeto: é o know-how que o pitch apresenta como diferencial. Lançado no mês da venda, junto com a receita (a despesa variável acompanha a venda, como pede a ficha).</t>
  </si>
  <si>
    <t xml:space="preserve">Deslocamento por Sprint (R$)</t>
  </si>
  <si>
    <t xml:space="preserve">Transporte e alimentação nos 7 dias de imersão na Grande SP.</t>
  </si>
  <si>
    <t xml:space="preserve">Deslocamento por Scale vendido (R$)</t>
  </si>
  <si>
    <t xml:space="preserve">6 visitas mensais de acompanhamento no escritório do cliente (R$ 200 cada), lançadas no mês da venda.</t>
  </si>
  <si>
    <t xml:space="preserve">3. SIMPLES NACIONAL – ANEXO V (LC 123/2006)</t>
  </si>
  <si>
    <t xml:space="preserve">Faixa (receita bruta dos últimos 12 meses)</t>
  </si>
  <si>
    <t xml:space="preserve">RBT12 a partir de (R$)</t>
  </si>
  <si>
    <t xml:space="preserve">Alíquota nominal</t>
  </si>
  <si>
    <t xml:space="preserve">Parcela a deduzir (R$)</t>
  </si>
  <si>
    <t xml:space="preserve">1ª faixa – até R$ 180 mil</t>
  </si>
  <si>
    <t xml:space="preserve">2ª faixa – até R$ 360 mil</t>
  </si>
  <si>
    <t xml:space="preserve">3ª faixa – até R$ 720 mil</t>
  </si>
  <si>
    <t xml:space="preserve">4ª faixa – até R$ 1,8 mi</t>
  </si>
  <si>
    <t xml:space="preserve">5ª faixa – até R$ 3,6 mi</t>
  </si>
  <si>
    <t xml:space="preserve">6ª faixa – até R$ 4,8 mi</t>
  </si>
  <si>
    <t xml:space="preserve">SaaS e consultoria de gestão ficam no Anexo V enquanto o Fator R (folha ÷ receita) for menor que 28%. Alíquota efetiva = (RBT12 × alíquota nominal − parcela a deduzir) ÷ RBT12. No 1º ano, RBT12 = média dos meses anteriores × 12.</t>
  </si>
  <si>
    <t xml:space="preserve">4. DESPESAS FIXAS (R$/mês, sem a retirada dos sócios)</t>
  </si>
  <si>
    <t xml:space="preserve">Aluguel e condomínio – escritório virtual</t>
  </si>
  <si>
    <t xml:space="preserve">Endereço fiscal com sala de reunião sob demanda: planos a partir de R$ 80/mês na Av. Paulista (Company Hero) + uso avulso de sala.</t>
  </si>
  <si>
    <t xml:space="preserve">Salários + encargos (CLT)</t>
  </si>
  <si>
    <t xml:space="preserve">Sem funcionários CLT no horizonte do projeto: o desenvolvedor é contratado como PJ (linha própria abaixo).</t>
  </si>
  <si>
    <t xml:space="preserve">Contador</t>
  </si>
  <si>
    <t xml:space="preserve">Contabilidade online para serviços no Simples: R$ 120–400/mês (contabilidade.com, 2026). Topo da faixa por ter 7 sócios com retirada.</t>
  </si>
  <si>
    <t xml:space="preserve">Energia, água, gás</t>
  </si>
  <si>
    <t xml:space="preserve">Equipe remota, sem sede física.</t>
  </si>
  <si>
    <t xml:space="preserve">Internet e telefone</t>
  </si>
  <si>
    <t xml:space="preserve">2 linhas corporativas + WhatsApp Business.</t>
  </si>
  <si>
    <t xml:space="preserve">Marketing / redes sociais</t>
  </si>
  <si>
    <t xml:space="preserve">Conteúdo no LinkedIn e Instagram, anúncios e presença em eventos de associações de advogados previdenciários.</t>
  </si>
  <si>
    <t xml:space="preserve">Softwares e assinaturas</t>
  </si>
  <si>
    <t xml:space="preserve">Google Workspace (7 contas), CRM, ferramentas de IA para desenvolvimento, design e assinatura eletrônica.</t>
  </si>
  <si>
    <t xml:space="preserve">Desenvolvedor auxiliar PJ (meio período, 20 h/semana)</t>
  </si>
  <si>
    <t xml:space="preserve">Metade da faixa de dev pleno PJ (R$ 10–18 mil/mês, Jobrise 2026; Robert Half: mediana R$ 12 mil). Os sócios seguem construindo junto.</t>
  </si>
  <si>
    <t xml:space="preserve">Nuvem, banco de dados e segurança (base fixa)</t>
  </si>
  <si>
    <t xml:space="preserve">Hospedagem, banco de dados, backups e monitoramento. É a parte que não depende do número de clientes (o consumo por cliente está na linha de tokens).</t>
  </si>
  <si>
    <t xml:space="preserve">TOTAL DAS DESPESAS FIXAS SEM RETIRADA</t>
  </si>
  <si>
    <t xml:space="preserve">É o custo mensal da Precept com receita zero: base do cálculo de runway.</t>
  </si>
  <si>
    <t xml:space="preserve">5. RETIRADA DOS SÓCIOS (pró-labore)</t>
  </si>
  <si>
    <t xml:space="preserve">Número de sócios</t>
  </si>
  <si>
    <t xml:space="preserve">Quadro societário da Precept: todos recebem a mesma quantia.</t>
  </si>
  <si>
    <t xml:space="preserve">Retirada por sócio (% da receita bruta do mês)</t>
  </si>
  <si>
    <t xml:space="preserve">Mantém o break-even no mês 6, com todos os meses seguintes positivos (faixa viável de ~3,1% a ~4,1% por sócio). Igual para os 7 sócios.</t>
  </si>
  <si>
    <t xml:space="preserve">Mês em que a retirada começa</t>
  </si>
  <si>
    <t xml:space="preserve">Decisão do grupo (3º ou 4º mês). O mês 4 deixa o 1º trimestre só para validar o MVP e reduz a necessidade de caixa.</t>
  </si>
  <si>
    <t xml:space="preserve">Retirada total (% da receita bruta)</t>
  </si>
  <si>
    <t xml:space="preserve">Nº de sócios × % por sócio.</t>
  </si>
  <si>
    <t xml:space="preserve">6. INVESTIMENTO INICIAL (PERÍODO 0) E CAPITAL</t>
  </si>
  <si>
    <t xml:space="preserve">Máquinas e equipamentos</t>
  </si>
  <si>
    <t xml:space="preserve">2 notebooks de desenvolvimento (~R$ 5.500 cada) + monitor e periféricos (~R$ 1.000).</t>
  </si>
  <si>
    <t xml:space="preserve">Móveis e utensílios</t>
  </si>
  <si>
    <t xml:space="preserve">Não se aplica: equipe remota, sem sede.</t>
  </si>
  <si>
    <t xml:space="preserve">Reforma / instalação</t>
  </si>
  <si>
    <t xml:space="preserve">Não se aplica: sem sede física.</t>
  </si>
  <si>
    <t xml:space="preserve">Abertura da empresa e licenças</t>
  </si>
  <si>
    <t xml:space="preserve">JUCESP R$ 132,55; e-CNPJ ~R$ 200; taxas municipais ~R$ 500; marca no INPI R$ 440 por classe (classes 35 e 42, com desconto de ME); honorários de abertura.</t>
  </si>
  <si>
    <t xml:space="preserve">Estoque inicial</t>
  </si>
  <si>
    <t xml:space="preserve">Não se aplica: serviço digital, sem estoque.</t>
  </si>
  <si>
    <t xml:space="preserve">Desenvolvimento do MVP (sócios + devs auxiliares, 3 meses)</t>
  </si>
  <si>
    <t xml:space="preserve">1 dev pleno PJ (R$ 10 mil/mês) + 1 dev júnior PJ (R$ 6 mil/mês) por 3 meses = R$ 48 mil; design UX/UI R$ 6 mil; tokens de IA e nuvem do período R$ 3 mil.</t>
  </si>
  <si>
    <t xml:space="preserve">Jurídico/LGPD, segurança, identidade visual, site e pré-lançamento</t>
  </si>
  <si>
    <t xml:space="preserve">Contrato social, acordo de sócios, termos de uso, política de privacidade, DPA e contratos com cessão de PI R$ 10 mil; teste de segurança R$ 5 mil; identidade visual e site R$ 5,5 mil; pré-lançamento R$ 10 mil.</t>
  </si>
  <si>
    <t xml:space="preserve">TOTAL DO INVESTIMENTO INICIAL (D)</t>
  </si>
  <si>
    <t xml:space="preserve">Vai para o período 0 da aba Fluxo de Caixa.</t>
  </si>
  <si>
    <t xml:space="preserve">Capital inicial dos sócios</t>
  </si>
  <si>
    <t xml:space="preserve">Capital apresentado no pitch (slide 14): custeia tokens, IAs, programa e sistema.</t>
  </si>
  <si>
    <t xml:space="preserve">7. TAXA DE DESCONTO (TMA)</t>
  </si>
  <si>
    <t xml:space="preserve">CDI de referência (% a.a.)</t>
  </si>
  <si>
    <t xml:space="preserve">Selic em 13,75% a.a. (Copom, 16/09/2026). CDI ≈ Selic − 0,10 p.p.</t>
  </si>
  <si>
    <t xml:space="preserve">Prêmio pelo risco do negócio (p.p. a.a.)</t>
  </si>
  <si>
    <t xml:space="preserve">Risco entre Moderado e Alto na tabela da disciplina. É um produto novo, mas num mercado validado por benchmarks: ADVBOX (+5 mil escritórios, planos até R$ 1.800/mês), G4 Educação (R$ 509 mi/ano com gestão para PMEs), AB2L (+600 lawtechs). Como ainda não há vendas, fica no topo da faixa Moderada.</t>
  </si>
  <si>
    <t xml:space="preserve">TMA do grupo (% a.a.)</t>
  </si>
  <si>
    <t xml:space="preserve">Vai para a aba VPL e TIR. Também é a taxa da seção 6 da ficha.</t>
  </si>
  <si>
    <t xml:space="preserve">8. INDICADORES-CHAVE (automático)</t>
  </si>
  <si>
    <t xml:space="preserve">Runway sem receita (meses)</t>
  </si>
  <si>
    <t xml:space="preserve">(Capital − investimento) ÷ despesas fixas sem retirada. Meta do pitch: 4 meses.</t>
  </si>
  <si>
    <t xml:space="preserve">Break-even operacional (1º mês com resultado ≥ 0)</t>
  </si>
  <si>
    <t xml:space="preserve">Meta do pitch: 6 meses.</t>
  </si>
  <si>
    <t xml:space="preserve">Necessidade máxima de caixa</t>
  </si>
  <si>
    <t xml:space="preserve">Investimento + prejuízos acumulados até o pior momento.</t>
  </si>
  <si>
    <t xml:space="preserve">Folga do capital inicial</t>
  </si>
  <si>
    <t xml:space="preserve">Capital − necessidade máxima. Positivo = os R$ 150 mil bastam, com sobra de reserva.</t>
  </si>
  <si>
    <t xml:space="preserve">VPL</t>
  </si>
  <si>
    <t xml:space="preserve">Copiado da aba VPL e TIR.</t>
  </si>
  <si>
    <t xml:space="preserve">TIR equivalente ao ano</t>
  </si>
  <si>
    <t xml:space="preserve">Compare com a TMA da linha 64.</t>
  </si>
  <si>
    <t xml:space="preserve">Payback simples (período)</t>
  </si>
  <si>
    <t xml:space="preserve">1º mês com saldo acumulado ≥ 0.</t>
  </si>
  <si>
    <t xml:space="preserve">Payback descontado (período)</t>
  </si>
  <si>
    <t xml:space="preserve">1º mês com VP acumulado ≥ 0.</t>
  </si>
  <si>
    <t xml:space="preserve">Retirada média por sócio na Estabilidade (R$/mês)</t>
  </si>
  <si>
    <t xml:space="preserve">Meses 13 a 24.</t>
  </si>
  <si>
    <t xml:space="preserve">9. SENSIBILIDADE DO VPL À TMA</t>
  </si>
  <si>
    <t xml:space="preserve">TMA (% a.a.)</t>
  </si>
  <si>
    <t xml:space="preserve">VPL (R$)</t>
  </si>
  <si>
    <t xml:space="preserve">Leitura</t>
  </si>
  <si>
    <t xml:space="preserve">20–24% = risco Moderado · 24–29% = risco Alto · acima de 29% = risco Muito alto (tabela da disciplina).</t>
  </si>
  <si>
    <t xml:space="preserve">10. LICENÇAS E CORE COMO BASE</t>
  </si>
  <si>
    <t xml:space="preserve">Licenças incluídas por assinatura</t>
  </si>
  <si>
    <t xml:space="preserve">1 acesso master + 4 dependentes em qualquer plano. O preço do plano depende do porte da operação, não do número de pessoas.</t>
  </si>
  <si>
    <t xml:space="preserve">Preço da licença extra (R$/mês)</t>
  </si>
  <si>
    <t xml:space="preserve">Decisão do grupo: cada licença acima das 5 incluídas custa R$ 300/mês.</t>
  </si>
  <si>
    <t xml:space="preserve">Licenças extras por cliente pagante (média)</t>
  </si>
  <si>
    <t xml:space="preserve">Hipótese: 0,5 em média no plano Essencial e 1,75 no Avançado (escritórios maiores). Validar nas primeiras vendas.</t>
  </si>
  <si>
    <t xml:space="preserve">Tokens de IA por licença extra (R$/mês)</t>
  </si>
  <si>
    <t xml:space="preserve">Mesmo consumo por usuário das 5 licenças incluídas (R$ 90 ÷ 5).</t>
  </si>
  <si>
    <t xml:space="preserve">Meses de Core grátis por Sprint vendido</t>
  </si>
  <si>
    <t xml:space="preserve">Decisão do grupo: quem compra o Sprint ganha 1 mês de Core; quem vem de fora da base vira assinante depois disso.</t>
  </si>
  <si>
    <t xml:space="preserve">Meses de Core grátis por Scale vendido</t>
  </si>
  <si>
    <t xml:space="preserve">Decisão do grupo: quem compra o Scale ganha 3 meses de Core.</t>
  </si>
  <si>
    <t xml:space="preserve">Ticket médio efetivo do Core (R$/mês por cliente pagante)</t>
  </si>
  <si>
    <t xml:space="preserve">Plano + licenças extras.</t>
  </si>
  <si>
    <t xml:space="preserve">PROJEÇÃO MENSAL DA PRECEPT – 24 MESES</t>
  </si>
  <si>
    <t xml:space="preserve">Cinza = volume de vendas por mês (premissa do grupo; os clientes Core incluem quem veio do Sprint de fora da base). Azul = automático. As colunas I, R e U alimentam a aba Fluxo de Caixa.</t>
  </si>
  <si>
    <t xml:space="preserve">Mês</t>
  </si>
  <si>
    <t xml:space="preserve">Clientes Core ativos</t>
  </si>
  <si>
    <t xml:space="preserve">Sprints vendidos</t>
  </si>
  <si>
    <t xml:space="preserve">Scales vendidos</t>
  </si>
  <si>
    <t xml:space="preserve">Scales em execução (6 meses)</t>
  </si>
  <si>
    <t xml:space="preserve">Receita Core (R$)</t>
  </si>
  <si>
    <t xml:space="preserve">Receita Sprint (R$)</t>
  </si>
  <si>
    <t xml:space="preserve">Receita Scale (R$)</t>
  </si>
  <si>
    <t xml:space="preserve">Vendas Brutas (R$)</t>
  </si>
  <si>
    <t xml:space="preserve">RBT12 – Simples (R$)</t>
  </si>
  <si>
    <t xml:space="preserve">Alíquota efetiva Simples</t>
  </si>
  <si>
    <t xml:space="preserve">Impostos (R$)</t>
  </si>
  <si>
    <t xml:space="preserve">Tokens IA (R$)</t>
  </si>
  <si>
    <t xml:space="preserve">Meio de pagamento (R$)</t>
  </si>
  <si>
    <t xml:space="preserve">Comissões (R$)</t>
  </si>
  <si>
    <t xml:space="preserve">Especialistas (R$)</t>
  </si>
  <si>
    <t xml:space="preserve">Deslocamento (R$)</t>
  </si>
  <si>
    <t xml:space="preserve">Despesas Variáveis (R$)</t>
  </si>
  <si>
    <t xml:space="preserve">Fixo base (R$)</t>
  </si>
  <si>
    <t xml:space="preserve">Retirada dos sócios (R$)</t>
  </si>
  <si>
    <t xml:space="preserve">Despesas Fixas (R$)</t>
  </si>
  <si>
    <t xml:space="preserve">Resultado Operacional (R$)</t>
  </si>
  <si>
    <t xml:space="preserve">Retirada por sócio (R$)</t>
  </si>
  <si>
    <t xml:space="preserve">Resultado ≥ 0?</t>
  </si>
  <si>
    <t xml:space="preserve">Meses de Core grátis</t>
  </si>
  <si>
    <t xml:space="preserve">Clientes Core pagantes</t>
  </si>
  <si>
    <t xml:space="preserve">–</t>
  </si>
  <si>
    <t xml:space="preserve">TOTAL</t>
  </si>
  <si>
    <t xml:space="preserve">RESUMO POR FASE → seção 5 da ficha (médias mensais de cada fase)</t>
  </si>
  <si>
    <t xml:space="preserve">Fase</t>
  </si>
  <si>
    <t xml:space="preserve">Períodos</t>
  </si>
  <si>
    <t xml:space="preserve">Vendas Brutas por mês (R$)</t>
  </si>
  <si>
    <t xml:space="preserve">Despesas Variáveis por mês (R$)</t>
  </si>
  <si>
    <t xml:space="preserve">Despesas Fixas por mês (R$)</t>
  </si>
  <si>
    <t xml:space="preserve">Investimentos (R$)</t>
  </si>
  <si>
    <t xml:space="preserve">% variável da fase</t>
  </si>
  <si>
    <t xml:space="preserve">Resultado por mês (R$)</t>
  </si>
  <si>
    <t xml:space="preserve">Clientes Core (média)</t>
  </si>
  <si>
    <t xml:space="preserve">Sprints na fase</t>
  </si>
  <si>
    <t xml:space="preserve">Scales na fase</t>
  </si>
  <si>
    <t xml:space="preserve">Antes de abrir</t>
  </si>
  <si>
    <t xml:space="preserve">0</t>
  </si>
  <si>
    <t xml:space="preserve">Início</t>
  </si>
  <si>
    <t xml:space="preserve">1 a 6</t>
  </si>
  <si>
    <t xml:space="preserve">Crescimento</t>
  </si>
  <si>
    <t xml:space="preserve">7 a 12</t>
  </si>
  <si>
    <t xml:space="preserve">Estabilidade</t>
  </si>
  <si>
    <t xml:space="preserve">13 a 24</t>
  </si>
  <si>
    <t xml:space="preserve">MÊS TÍPICO (média da Estabilidade, meses 13 a 24) → seções 1, 2 e 3 da ficha</t>
  </si>
  <si>
    <t xml:space="preserve">Item</t>
  </si>
  <si>
    <t xml:space="preserve">Quantidade por mês</t>
  </si>
  <si>
    <t xml:space="preserve">Preço ou base (R$)</t>
  </si>
  <si>
    <t xml:space="preserve">Valor mensal (R$)</t>
  </si>
  <si>
    <t xml:space="preserve">Core – plano Essencial (clientes pagantes)</t>
  </si>
  <si>
    <t xml:space="preserve">Core – plano Avançado (clientes pagantes)</t>
  </si>
  <si>
    <t xml:space="preserve">Licenças extras (acima das 5 incluídas)</t>
  </si>
  <si>
    <t xml:space="preserve">Sprint – imersão de 7 dias</t>
  </si>
  <si>
    <t xml:space="preserve">Scale – implementação de 6 meses</t>
  </si>
  <si>
    <t xml:space="preserve">TOTAL DA RECEITA MENSAL (A)</t>
  </si>
  <si>
    <t xml:space="preserve">Tokens de IA e nuvem (clientes ativos e licenças)</t>
  </si>
  <si>
    <t xml:space="preserve">Impostos – Simples Nacional Anexo V</t>
  </si>
  <si>
    <t xml:space="preserve">Meio de pagamento</t>
  </si>
  <si>
    <t xml:space="preserve">Comissões de parceiros</t>
  </si>
  <si>
    <t xml:space="preserve">Deslocamento (Sprint e Scale)</t>
  </si>
  <si>
    <t xml:space="preserve">Especialistas na entrega</t>
  </si>
  <si>
    <t xml:space="preserve">TOTAL DAS DESPESAS VARIÁVEIS (B)</t>
  </si>
  <si>
    <t xml:space="preserve">Retirada dos sócios (7 sócios × % da receita)</t>
  </si>
  <si>
    <t xml:space="preserve">Despesas fixas sem retirada</t>
  </si>
  <si>
    <t xml:space="preserve">TOTAL DAS DESPESAS FIXAS (C)</t>
  </si>
  <si>
    <t xml:space="preserve">FLUXO DE CAIXA DETALHADO</t>
  </si>
  <si>
    <t xml:space="preserve">Preencha as células CINZAS. As AZUIS são calculadas. Período 0 = investimento inicial; períodos 1 a 24 = operação.</t>
  </si>
  <si>
    <t xml:space="preserve">Período</t>
  </si>
  <si>
    <t xml:space="preserve">Fluxo de Caixa Líquido (R$)</t>
  </si>
  <si>
    <t xml:space="preserve">Dados da PRECEPT: os valores de cada mês vêm da aba Projeção Mensal (clientes, preços e custos da aba Premissas Precept). Investimento inicial no período 0; retirada dos sócios (3% da receita cada) a partir do mês 4.</t>
  </si>
  <si>
    <t xml:space="preserve">SALDO ACUMULADO, NECESSIDADE DE CAIXA E PAYBACK</t>
  </si>
  <si>
    <t xml:space="preserve">Aba 100% automática. Mostra quanto dinheiro o projeto acumula (ou consome) ao longo do tempo.</t>
  </si>
  <si>
    <t xml:space="preserve">Saldo Acumulado (R$)</t>
  </si>
  <si>
    <t xml:space="preserve">Investimento recuperado?</t>
  </si>
  <si>
    <t xml:space="preserve">RESUMO</t>
  </si>
  <si>
    <t xml:space="preserve">Necessidade máxima de caixa (R$):</t>
  </si>
  <si>
    <t xml:space="preserve">← pior saldo: dinheiro que os sócios precisam ter</t>
  </si>
  <si>
    <t xml:space="preserve">Payback simples (1º período com saldo ≥ 0):</t>
  </si>
  <si>
    <t xml:space="preserve">← 1º período com saldo acumulado ≥ 0</t>
  </si>
  <si>
    <t xml:space="preserve">ANÁLISE DE VIABILIDADE FINANCEIRA</t>
  </si>
  <si>
    <t xml:space="preserve">Preencha as duas células CINZAS abaixo. Todo o resto é calculado a partir da aba Fluxo de Caixa.</t>
  </si>
  <si>
    <t xml:space="preserve">1. PARÂMETROS</t>
  </si>
  <si>
    <t xml:space="preserve">Taxa de desconto ANUAL (TMA):</t>
  </si>
  <si>
    <t xml:space="preserve">TMA da Precept: 24% a.a. = CDI de ~13,65% + 10,35 p.p. de prêmio (risco Moderado/Alto). Para alterar, use a aba Premissas Precept, linhas 62–63.</t>
  </si>
  <si>
    <t xml:space="preserve">Os períodos da planilha são:</t>
  </si>
  <si>
    <t xml:space="preserve">Mensal</t>
  </si>
  <si>
    <t xml:space="preserve">Escolha na lista: Mensal ou Anual.</t>
  </si>
  <si>
    <t xml:space="preserve">Taxa de desconto por período:</t>
  </si>
  <si>
    <t xml:space="preserve">Automático. Taxa mensal equivalente: (1 + taxa anual)^(1/12) − 1.</t>
  </si>
  <si>
    <t xml:space="preserve">2. FLUXO DE CAIXA TRAZIDO A VALOR PRESENTE</t>
  </si>
  <si>
    <t xml:space="preserve">Fluxo de Caixa (R$)</t>
  </si>
  <si>
    <t xml:space="preserve">Fator de Desconto</t>
  </si>
  <si>
    <t xml:space="preserve">Valor Presente (R$)</t>
  </si>
  <si>
    <t xml:space="preserve">VP Acumulado (R$)</t>
  </si>
  <si>
    <t xml:space="preserve">Recuperado (descontado)?</t>
  </si>
  <si>
    <t xml:space="preserve">3. RESULTADOS</t>
  </si>
  <si>
    <t xml:space="preserve">Valor Presente Líquido (VPL):</t>
  </si>
  <si>
    <t xml:space="preserve">TIR por período:</t>
  </si>
  <si>
    <t xml:space="preserve">TIR equivalente ao ano:</t>
  </si>
  <si>
    <t xml:space="preserve">Investimento inicial (período 0):</t>
  </si>
  <si>
    <t xml:space="preserve">VPL em % do investimento inicial:</t>
  </si>
  <si>
    <t xml:space="preserve">Payback descontado (1º período com VP acum. ≥ 0):</t>
  </si>
  <si>
    <t xml:space="preserve">Necessidade máxima de caixa:</t>
  </si>
  <si>
    <t xml:space="preserve">4. COMO LER OS RESULTADOS</t>
  </si>
  <si>
    <t xml:space="preserve">• VPL &gt; 0 → viável: o projeto devolve o investimento, paga a taxa exigida e ainda gera o valor mostrado (em R$ de hoje).</t>
  </si>
  <si>
    <t xml:space="preserve">• VPL &lt; 0 → inviável nas premissas atuais: revise preço, volume, custos ou investimento e teste novos cenários.</t>
  </si>
  <si>
    <t xml:space="preserve">• TIR &gt; taxa de desconto → viável. VPL e TIR normalmente apontam a mesma decisão; se divergirem, prefira o VPL.</t>
  </si>
  <si>
    <t xml:space="preserve">• Cuidado com a TIR quando o fluxo muda de sinal mais de uma vez (ex.: novo investimento no meio do projeto): ela pode ser enganosa. Nesse caso, decida pelo VPL.</t>
  </si>
  <si>
    <t xml:space="preserve">• Payback: quanto menor, mais rápido o dinheiro volta e menor o risco. O descontado é o mais rigoroso.</t>
  </si>
  <si>
    <t xml:space="preserve">• Necessidade máxima de caixa: os sócios precisam ter esse valor disponível (investimento + prejuízos iniciais).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</si>
</sst>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&quot;R$ &quot;#,##0.00;[RED]&quot;-R$ &quot;#,##0.00;\-"/>
    <numFmt numFmtId="166" formatCode="0.0%;[RED]\-0.0%;\-"/>
    <numFmt numFmtId="167" formatCode="0;[RED]\-0;\-"/>
    <numFmt numFmtId="168" formatCode="0.00%"/>
    <numFmt numFmtId="169" formatCode="0.0&quot; meses&quot;"/>
    <numFmt numFmtId="170" formatCode="&quot;mês &quot;0"/>
    <numFmt numFmtId="171" formatCode="0"/>
    <numFmt numFmtId="172" formatCode="#,##0.00;[RED]\-#,##0.00;\-"/>
    <numFmt numFmtId="173" formatCode="@"/>
    <numFmt numFmtId="174" formatCode="0.000%"/>
    <numFmt numFmtId="175" formatCode="0.0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1"/>
      <color rgb="FF1F4E78"/>
      <name val="Calibri"/>
      <family val="0"/>
      <charset val="1"/>
    </font>
    <font>
      <i val="true"/>
      <sz val="10"/>
      <color rgb="FF7F7F7F"/>
      <name val="Calibri"/>
      <family val="0"/>
      <charset val="1"/>
    </font>
    <font>
      <sz val="10"/>
      <name val="Arial"/>
      <family val="2"/>
    </font>
    <font>
      <i val="true"/>
      <sz val="9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D9E1F2"/>
      </patternFill>
    </fill>
    <fill>
      <patternFill patternType="solid">
        <fgColor rgb="FFD9E1F2"/>
        <bgColor rgb="FFE7E6E6"/>
      </patternFill>
    </fill>
    <fill>
      <patternFill patternType="solid">
        <fgColor rgb="FFFFF2CC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3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C00000"/>
      </font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</row>
    <row r="6" customFormat="false" ht="15" hidden="false" customHeight="true" outlineLevel="0" collapsed="false">
      <c r="A6" s="5" t="s">
        <v>4</v>
      </c>
    </row>
    <row r="7" customFormat="false" ht="15" hidden="false" customHeight="true" outlineLevel="0" collapsed="false">
      <c r="A7" s="5" t="s">
        <v>5</v>
      </c>
    </row>
    <row r="8" customFormat="false" ht="15" hidden="false" customHeight="true" outlineLevel="0" collapsed="false">
      <c r="A8" s="5" t="s">
        <v>6</v>
      </c>
    </row>
    <row r="9" customFormat="false" ht="15" hidden="false" customHeight="true" outlineLevel="0" collapsed="false">
      <c r="A9" s="5" t="s">
        <v>7</v>
      </c>
    </row>
    <row r="10" customFormat="false" ht="15" hidden="false" customHeight="true" outlineLevel="0" collapsed="false">
      <c r="A10" s="5"/>
    </row>
    <row r="11" customFormat="false" ht="15" hidden="false" customHeight="true" outlineLevel="0" collapsed="false">
      <c r="A11" s="4" t="s">
        <v>8</v>
      </c>
    </row>
    <row r="12" customFormat="false" ht="15" hidden="false" customHeight="true" outlineLevel="0" collapsed="false">
      <c r="A12" s="5" t="s">
        <v>9</v>
      </c>
    </row>
    <row r="13" customFormat="false" ht="15" hidden="false" customHeight="true" outlineLevel="0" collapsed="false">
      <c r="A13" s="5" t="s">
        <v>10</v>
      </c>
    </row>
    <row r="14" customFormat="false" ht="15" hidden="false" customHeight="true" outlineLevel="0" collapsed="false">
      <c r="A14" s="5"/>
    </row>
    <row r="15" customFormat="false" ht="15" hidden="false" customHeight="true" outlineLevel="0" collapsed="false">
      <c r="A15" s="4" t="s">
        <v>11</v>
      </c>
    </row>
    <row r="16" customFormat="false" ht="15" hidden="false" customHeight="true" outlineLevel="0" collapsed="false">
      <c r="A16" s="5" t="s">
        <v>12</v>
      </c>
    </row>
    <row r="17" customFormat="false" ht="15" hidden="false" customHeight="true" outlineLevel="0" collapsed="false">
      <c r="A17" s="5" t="s">
        <v>13</v>
      </c>
    </row>
    <row r="18" customFormat="false" ht="15" hidden="false" customHeight="true" outlineLevel="0" collapsed="false">
      <c r="A18" s="5" t="s">
        <v>14</v>
      </c>
    </row>
    <row r="19" customFormat="false" ht="15" hidden="false" customHeight="true" outlineLevel="0" collapsed="false">
      <c r="A19" s="5" t="s">
        <v>15</v>
      </c>
    </row>
    <row r="20" customFormat="false" ht="15" hidden="false" customHeight="true" outlineLevel="0" collapsed="false">
      <c r="A20" s="5" t="s">
        <v>16</v>
      </c>
    </row>
    <row r="21" customFormat="false" ht="23.25" hidden="false" customHeight="true" outlineLevel="0" collapsed="false">
      <c r="A21" s="5" t="s">
        <v>17</v>
      </c>
    </row>
    <row r="22" customFormat="false" ht="15" hidden="false" customHeight="true" outlineLevel="0" collapsed="false">
      <c r="A22" s="5" t="s">
        <v>18</v>
      </c>
    </row>
    <row r="23" customFormat="false" ht="15" hidden="false" customHeight="true" outlineLevel="0" collapsed="false">
      <c r="A23" s="5" t="s">
        <v>19</v>
      </c>
    </row>
    <row r="24" customFormat="false" ht="15" hidden="false" customHeight="true" outlineLevel="0" collapsed="false">
      <c r="A24" s="5" t="s">
        <v>20</v>
      </c>
    </row>
    <row r="25" customFormat="false" ht="15" hidden="false" customHeight="true" outlineLevel="0" collapsed="false">
      <c r="A25" s="5" t="s">
        <v>21</v>
      </c>
    </row>
    <row r="26" customFormat="false" ht="15" hidden="false" customHeight="true" outlineLevel="0" collapsed="false">
      <c r="A26" s="5" t="s">
        <v>22</v>
      </c>
    </row>
    <row r="27" customFormat="false" ht="15" hidden="false" customHeight="true" outlineLevel="0" collapsed="false">
      <c r="A27" s="5"/>
    </row>
    <row r="28" customFormat="false" ht="15" hidden="false" customHeight="true" outlineLevel="0" collapsed="false">
      <c r="A28" s="4" t="s">
        <v>23</v>
      </c>
    </row>
    <row r="29" customFormat="false" ht="15" hidden="false" customHeight="true" outlineLevel="0" collapsed="false">
      <c r="A29" s="5" t="s">
        <v>24</v>
      </c>
    </row>
    <row r="30" customFormat="false" ht="15" hidden="false" customHeight="true" outlineLevel="0" collapsed="false">
      <c r="A30" s="5" t="s">
        <v>25</v>
      </c>
    </row>
    <row r="31" customFormat="false" ht="15" hidden="false" customHeight="true" outlineLevel="0" collapsed="false">
      <c r="A31" s="5" t="s">
        <v>26</v>
      </c>
    </row>
    <row r="32" customFormat="false" ht="15" hidden="false" customHeight="true" outlineLevel="0" collapsed="false">
      <c r="A32" s="5" t="s">
        <v>27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D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7"/>
    <col collapsed="false" customWidth="true" hidden="false" outlineLevel="0" max="3" min="3" style="0" width="96"/>
    <col collapsed="false" customWidth="true" hidden="false" outlineLevel="0" max="4" min="4" style="0" width="17"/>
  </cols>
  <sheetData>
    <row r="1" customFormat="false" ht="21.75" hidden="false" customHeight="true" outlineLevel="0" collapsed="false">
      <c r="A1" s="6" t="s">
        <v>28</v>
      </c>
      <c r="B1" s="7"/>
      <c r="C1" s="7"/>
    </row>
    <row r="2" customFormat="false" ht="15" hidden="false" customHeight="false" outlineLevel="0" collapsed="false">
      <c r="A2" s="8" t="s">
        <v>29</v>
      </c>
    </row>
    <row r="4" customFormat="false" ht="15" hidden="false" customHeight="false" outlineLevel="0" collapsed="false">
      <c r="A4" s="9" t="s">
        <v>30</v>
      </c>
      <c r="B4" s="10"/>
      <c r="C4" s="10"/>
    </row>
    <row r="5" customFormat="false" ht="22.35" hidden="false" customHeight="false" outlineLevel="0" collapsed="false">
      <c r="A5" s="11" t="s">
        <v>31</v>
      </c>
      <c r="B5" s="12" t="n">
        <v>997</v>
      </c>
      <c r="C5" s="13" t="s">
        <v>32</v>
      </c>
    </row>
    <row r="6" customFormat="false" ht="15" hidden="false" customHeight="false" outlineLevel="0" collapsed="false">
      <c r="A6" s="11" t="s">
        <v>33</v>
      </c>
      <c r="B6" s="12" t="n">
        <v>1497</v>
      </c>
      <c r="C6" s="13" t="s">
        <v>34</v>
      </c>
    </row>
    <row r="7" customFormat="false" ht="15" hidden="false" customHeight="false" outlineLevel="0" collapsed="false">
      <c r="A7" s="11" t="s">
        <v>35</v>
      </c>
      <c r="B7" s="14" t="n">
        <v>0.6</v>
      </c>
      <c r="C7" s="13" t="s">
        <v>36</v>
      </c>
    </row>
    <row r="8" customFormat="false" ht="15" hidden="false" customHeight="false" outlineLevel="0" collapsed="false">
      <c r="A8" s="11" t="s">
        <v>37</v>
      </c>
      <c r="B8" s="15" t="n">
        <f aca="false">B5*B7+B6*(1-B7)</f>
        <v>1197</v>
      </c>
      <c r="C8" s="13" t="s">
        <v>38</v>
      </c>
    </row>
    <row r="9" customFormat="false" ht="22.35" hidden="false" customHeight="false" outlineLevel="0" collapsed="false">
      <c r="A9" s="11" t="s">
        <v>39</v>
      </c>
      <c r="B9" s="12" t="n">
        <v>9997</v>
      </c>
      <c r="C9" s="13" t="s">
        <v>40</v>
      </c>
    </row>
    <row r="10" customFormat="false" ht="22.35" hidden="false" customHeight="false" outlineLevel="0" collapsed="false">
      <c r="A10" s="11" t="s">
        <v>41</v>
      </c>
      <c r="B10" s="12" t="n">
        <v>29997</v>
      </c>
      <c r="C10" s="13" t="s">
        <v>42</v>
      </c>
    </row>
    <row r="11" customFormat="false" ht="15" hidden="false" customHeight="false" outlineLevel="0" collapsed="false">
      <c r="A11" s="11" t="s">
        <v>43</v>
      </c>
      <c r="B11" s="16" t="n">
        <v>6</v>
      </c>
      <c r="C11" s="13" t="s">
        <v>44</v>
      </c>
    </row>
    <row r="12" customFormat="false" ht="15" hidden="false" customHeight="false" outlineLevel="0" collapsed="false">
      <c r="A12" s="11" t="s">
        <v>45</v>
      </c>
      <c r="B12" s="17" t="s">
        <v>46</v>
      </c>
      <c r="C12" s="13" t="s">
        <v>47</v>
      </c>
    </row>
    <row r="14" customFormat="false" ht="15" hidden="false" customHeight="false" outlineLevel="0" collapsed="false">
      <c r="A14" s="9" t="s">
        <v>48</v>
      </c>
      <c r="B14" s="10"/>
      <c r="C14" s="10"/>
    </row>
    <row r="15" customFormat="false" ht="22.35" hidden="false" customHeight="false" outlineLevel="0" collapsed="false">
      <c r="A15" s="11" t="s">
        <v>49</v>
      </c>
      <c r="B15" s="12" t="n">
        <v>90</v>
      </c>
      <c r="C15" s="13" t="s">
        <v>50</v>
      </c>
    </row>
    <row r="16" customFormat="false" ht="22.35" hidden="false" customHeight="false" outlineLevel="0" collapsed="false">
      <c r="A16" s="11" t="s">
        <v>51</v>
      </c>
      <c r="B16" s="14" t="n">
        <v>0.02</v>
      </c>
      <c r="C16" s="13" t="s">
        <v>52</v>
      </c>
    </row>
    <row r="17" customFormat="false" ht="15" hidden="false" customHeight="false" outlineLevel="0" collapsed="false">
      <c r="A17" s="11" t="s">
        <v>53</v>
      </c>
      <c r="B17" s="14" t="n">
        <v>0.05</v>
      </c>
      <c r="C17" s="13" t="s">
        <v>54</v>
      </c>
    </row>
    <row r="18" customFormat="false" ht="22.35" hidden="false" customHeight="false" outlineLevel="0" collapsed="false">
      <c r="A18" s="11" t="s">
        <v>55</v>
      </c>
      <c r="B18" s="14" t="n">
        <v>0.35</v>
      </c>
      <c r="C18" s="13" t="s">
        <v>56</v>
      </c>
    </row>
    <row r="19" customFormat="false" ht="15" hidden="false" customHeight="false" outlineLevel="0" collapsed="false">
      <c r="A19" s="11" t="s">
        <v>57</v>
      </c>
      <c r="B19" s="12" t="n">
        <v>600</v>
      </c>
      <c r="C19" s="13" t="s">
        <v>58</v>
      </c>
    </row>
    <row r="20" customFormat="false" ht="15" hidden="false" customHeight="false" outlineLevel="0" collapsed="false">
      <c r="A20" s="11" t="s">
        <v>59</v>
      </c>
      <c r="B20" s="12" t="n">
        <v>1200</v>
      </c>
      <c r="C20" s="13" t="s">
        <v>60</v>
      </c>
    </row>
    <row r="22" customFormat="false" ht="15" hidden="false" customHeight="false" outlineLevel="0" collapsed="false">
      <c r="A22" s="9" t="s">
        <v>61</v>
      </c>
      <c r="B22" s="10"/>
      <c r="C22" s="10"/>
      <c r="D22" s="10"/>
    </row>
    <row r="23" customFormat="false" ht="15" hidden="false" customHeight="false" outlineLevel="0" collapsed="false">
      <c r="A23" s="18" t="s">
        <v>62</v>
      </c>
      <c r="B23" s="18" t="s">
        <v>63</v>
      </c>
      <c r="C23" s="18" t="s">
        <v>64</v>
      </c>
      <c r="D23" s="18" t="s">
        <v>65</v>
      </c>
    </row>
    <row r="24" customFormat="false" ht="15" hidden="false" customHeight="false" outlineLevel="0" collapsed="false">
      <c r="A24" s="19" t="s">
        <v>66</v>
      </c>
      <c r="B24" s="12" t="n">
        <v>0</v>
      </c>
      <c r="C24" s="20" t="n">
        <v>0.155</v>
      </c>
      <c r="D24" s="12" t="n">
        <v>0</v>
      </c>
    </row>
    <row r="25" customFormat="false" ht="15" hidden="false" customHeight="false" outlineLevel="0" collapsed="false">
      <c r="A25" s="19" t="s">
        <v>67</v>
      </c>
      <c r="B25" s="12" t="n">
        <v>180000.01</v>
      </c>
      <c r="C25" s="20" t="n">
        <v>0.18</v>
      </c>
      <c r="D25" s="12" t="n">
        <v>4500</v>
      </c>
    </row>
    <row r="26" customFormat="false" ht="15" hidden="false" customHeight="false" outlineLevel="0" collapsed="false">
      <c r="A26" s="19" t="s">
        <v>68</v>
      </c>
      <c r="B26" s="12" t="n">
        <v>360000.01</v>
      </c>
      <c r="C26" s="20" t="n">
        <v>0.195</v>
      </c>
      <c r="D26" s="12" t="n">
        <v>9900</v>
      </c>
    </row>
    <row r="27" customFormat="false" ht="15" hidden="false" customHeight="false" outlineLevel="0" collapsed="false">
      <c r="A27" s="19" t="s">
        <v>69</v>
      </c>
      <c r="B27" s="12" t="n">
        <v>720000.01</v>
      </c>
      <c r="C27" s="20" t="n">
        <v>0.205</v>
      </c>
      <c r="D27" s="12" t="n">
        <v>17100</v>
      </c>
    </row>
    <row r="28" customFormat="false" ht="15" hidden="false" customHeight="false" outlineLevel="0" collapsed="false">
      <c r="A28" s="19" t="s">
        <v>70</v>
      </c>
      <c r="B28" s="12" t="n">
        <v>1800000.01</v>
      </c>
      <c r="C28" s="20" t="n">
        <v>0.23</v>
      </c>
      <c r="D28" s="12" t="n">
        <v>62100</v>
      </c>
    </row>
    <row r="29" customFormat="false" ht="15" hidden="false" customHeight="false" outlineLevel="0" collapsed="false">
      <c r="A29" s="19" t="s">
        <v>71</v>
      </c>
      <c r="B29" s="12" t="n">
        <v>3600000.01</v>
      </c>
      <c r="C29" s="20" t="n">
        <v>0.305</v>
      </c>
      <c r="D29" s="12" t="n">
        <v>540000</v>
      </c>
    </row>
    <row r="30" customFormat="false" ht="15" hidden="false" customHeight="false" outlineLevel="0" collapsed="false">
      <c r="A30" s="21" t="s">
        <v>72</v>
      </c>
    </row>
    <row r="32" customFormat="false" ht="15" hidden="false" customHeight="false" outlineLevel="0" collapsed="false">
      <c r="A32" s="9" t="s">
        <v>73</v>
      </c>
      <c r="B32" s="10"/>
      <c r="C32" s="10"/>
    </row>
    <row r="33" customFormat="false" ht="15" hidden="false" customHeight="false" outlineLevel="0" collapsed="false">
      <c r="A33" s="11" t="s">
        <v>74</v>
      </c>
      <c r="B33" s="12" t="n">
        <v>150</v>
      </c>
      <c r="C33" s="13" t="s">
        <v>75</v>
      </c>
    </row>
    <row r="34" customFormat="false" ht="15" hidden="false" customHeight="false" outlineLevel="0" collapsed="false">
      <c r="A34" s="11" t="s">
        <v>76</v>
      </c>
      <c r="B34" s="12" t="n">
        <v>0</v>
      </c>
      <c r="C34" s="13" t="s">
        <v>77</v>
      </c>
    </row>
    <row r="35" customFormat="false" ht="15" hidden="false" customHeight="false" outlineLevel="0" collapsed="false">
      <c r="A35" s="11" t="s">
        <v>78</v>
      </c>
      <c r="B35" s="12" t="n">
        <v>400</v>
      </c>
      <c r="C35" s="13" t="s">
        <v>79</v>
      </c>
    </row>
    <row r="36" customFormat="false" ht="15" hidden="false" customHeight="false" outlineLevel="0" collapsed="false">
      <c r="A36" s="11" t="s">
        <v>80</v>
      </c>
      <c r="B36" s="12" t="n">
        <v>0</v>
      </c>
      <c r="C36" s="13" t="s">
        <v>81</v>
      </c>
    </row>
    <row r="37" customFormat="false" ht="15" hidden="false" customHeight="false" outlineLevel="0" collapsed="false">
      <c r="A37" s="11" t="s">
        <v>82</v>
      </c>
      <c r="B37" s="12" t="n">
        <v>200</v>
      </c>
      <c r="C37" s="13" t="s">
        <v>83</v>
      </c>
    </row>
    <row r="38" customFormat="false" ht="15" hidden="false" customHeight="false" outlineLevel="0" collapsed="false">
      <c r="A38" s="11" t="s">
        <v>84</v>
      </c>
      <c r="B38" s="12" t="n">
        <v>3500</v>
      </c>
      <c r="C38" s="13" t="s">
        <v>85</v>
      </c>
    </row>
    <row r="39" customFormat="false" ht="15" hidden="false" customHeight="false" outlineLevel="0" collapsed="false">
      <c r="A39" s="11" t="s">
        <v>86</v>
      </c>
      <c r="B39" s="12" t="n">
        <v>1500</v>
      </c>
      <c r="C39" s="13" t="s">
        <v>87</v>
      </c>
    </row>
    <row r="40" customFormat="false" ht="15" hidden="false" customHeight="false" outlineLevel="0" collapsed="false">
      <c r="A40" s="11" t="s">
        <v>88</v>
      </c>
      <c r="B40" s="12" t="n">
        <v>5000</v>
      </c>
      <c r="C40" s="13" t="s">
        <v>89</v>
      </c>
    </row>
    <row r="41" customFormat="false" ht="22.35" hidden="false" customHeight="false" outlineLevel="0" collapsed="false">
      <c r="A41" s="11" t="s">
        <v>90</v>
      </c>
      <c r="B41" s="12" t="n">
        <v>1250</v>
      </c>
      <c r="C41" s="13" t="s">
        <v>91</v>
      </c>
    </row>
    <row r="42" customFormat="false" ht="15" hidden="false" customHeight="false" outlineLevel="0" collapsed="false">
      <c r="A42" s="22" t="s">
        <v>92</v>
      </c>
      <c r="B42" s="23" t="n">
        <f aca="false">SUM(B33:B41)</f>
        <v>12000</v>
      </c>
      <c r="C42" s="13" t="s">
        <v>93</v>
      </c>
    </row>
    <row r="44" customFormat="false" ht="15" hidden="false" customHeight="false" outlineLevel="0" collapsed="false">
      <c r="A44" s="9" t="s">
        <v>94</v>
      </c>
      <c r="B44" s="10"/>
      <c r="C44" s="10"/>
    </row>
    <row r="45" customFormat="false" ht="15" hidden="false" customHeight="false" outlineLevel="0" collapsed="false">
      <c r="A45" s="11" t="s">
        <v>95</v>
      </c>
      <c r="B45" s="16" t="n">
        <v>7</v>
      </c>
      <c r="C45" s="13" t="s">
        <v>96</v>
      </c>
    </row>
    <row r="46" customFormat="false" ht="15" hidden="false" customHeight="false" outlineLevel="0" collapsed="false">
      <c r="A46" s="11" t="s">
        <v>97</v>
      </c>
      <c r="B46" s="14" t="n">
        <v>0.035</v>
      </c>
      <c r="C46" s="13" t="s">
        <v>98</v>
      </c>
    </row>
    <row r="47" customFormat="false" ht="15" hidden="false" customHeight="false" outlineLevel="0" collapsed="false">
      <c r="A47" s="11" t="s">
        <v>99</v>
      </c>
      <c r="B47" s="16" t="n">
        <v>4</v>
      </c>
      <c r="C47" s="13" t="s">
        <v>100</v>
      </c>
    </row>
    <row r="48" customFormat="false" ht="15" hidden="false" customHeight="false" outlineLevel="0" collapsed="false">
      <c r="A48" s="11" t="s">
        <v>101</v>
      </c>
      <c r="B48" s="24" t="n">
        <f aca="false">B45*B46</f>
        <v>0.245</v>
      </c>
      <c r="C48" s="13" t="s">
        <v>102</v>
      </c>
    </row>
    <row r="50" customFormat="false" ht="15" hidden="false" customHeight="false" outlineLevel="0" collapsed="false">
      <c r="A50" s="9" t="s">
        <v>103</v>
      </c>
      <c r="B50" s="10"/>
      <c r="C50" s="10"/>
    </row>
    <row r="51" customFormat="false" ht="15" hidden="false" customHeight="false" outlineLevel="0" collapsed="false">
      <c r="A51" s="11" t="s">
        <v>104</v>
      </c>
      <c r="B51" s="12" t="n">
        <v>12000</v>
      </c>
      <c r="C51" s="13" t="s">
        <v>105</v>
      </c>
    </row>
    <row r="52" customFormat="false" ht="15" hidden="false" customHeight="false" outlineLevel="0" collapsed="false">
      <c r="A52" s="11" t="s">
        <v>106</v>
      </c>
      <c r="B52" s="12" t="n">
        <v>0</v>
      </c>
      <c r="C52" s="13" t="s">
        <v>107</v>
      </c>
    </row>
    <row r="53" customFormat="false" ht="15" hidden="false" customHeight="false" outlineLevel="0" collapsed="false">
      <c r="A53" s="11" t="s">
        <v>108</v>
      </c>
      <c r="B53" s="12" t="n">
        <v>0</v>
      </c>
      <c r="C53" s="13" t="s">
        <v>109</v>
      </c>
    </row>
    <row r="54" customFormat="false" ht="22.35" hidden="false" customHeight="false" outlineLevel="0" collapsed="false">
      <c r="A54" s="11" t="s">
        <v>110</v>
      </c>
      <c r="B54" s="12" t="n">
        <v>2500</v>
      </c>
      <c r="C54" s="13" t="s">
        <v>111</v>
      </c>
    </row>
    <row r="55" customFormat="false" ht="15" hidden="false" customHeight="false" outlineLevel="0" collapsed="false">
      <c r="A55" s="11" t="s">
        <v>112</v>
      </c>
      <c r="B55" s="12" t="n">
        <v>0</v>
      </c>
      <c r="C55" s="13" t="s">
        <v>113</v>
      </c>
    </row>
    <row r="56" customFormat="false" ht="22.35" hidden="false" customHeight="false" outlineLevel="0" collapsed="false">
      <c r="A56" s="11" t="s">
        <v>114</v>
      </c>
      <c r="B56" s="12" t="n">
        <v>57000</v>
      </c>
      <c r="C56" s="13" t="s">
        <v>115</v>
      </c>
    </row>
    <row r="57" customFormat="false" ht="22.35" hidden="false" customHeight="false" outlineLevel="0" collapsed="false">
      <c r="A57" s="11" t="s">
        <v>116</v>
      </c>
      <c r="B57" s="12" t="n">
        <v>30500</v>
      </c>
      <c r="C57" s="13" t="s">
        <v>117</v>
      </c>
    </row>
    <row r="58" customFormat="false" ht="15" hidden="false" customHeight="false" outlineLevel="0" collapsed="false">
      <c r="A58" s="22" t="s">
        <v>118</v>
      </c>
      <c r="B58" s="23" t="n">
        <f aca="false">SUM(B51:B57)</f>
        <v>102000</v>
      </c>
      <c r="C58" s="13" t="s">
        <v>119</v>
      </c>
    </row>
    <row r="59" customFormat="false" ht="15" hidden="false" customHeight="false" outlineLevel="0" collapsed="false">
      <c r="A59" s="11" t="s">
        <v>120</v>
      </c>
      <c r="B59" s="12" t="n">
        <v>150000</v>
      </c>
      <c r="C59" s="13" t="s">
        <v>121</v>
      </c>
    </row>
    <row r="61" customFormat="false" ht="15" hidden="false" customHeight="false" outlineLevel="0" collapsed="false">
      <c r="A61" s="9" t="s">
        <v>122</v>
      </c>
      <c r="B61" s="10"/>
      <c r="C61" s="10"/>
    </row>
    <row r="62" customFormat="false" ht="15" hidden="false" customHeight="false" outlineLevel="0" collapsed="false">
      <c r="A62" s="11" t="s">
        <v>123</v>
      </c>
      <c r="B62" s="25" t="n">
        <v>0.1365</v>
      </c>
      <c r="C62" s="13" t="s">
        <v>124</v>
      </c>
    </row>
    <row r="63" customFormat="false" ht="32.8" hidden="false" customHeight="false" outlineLevel="0" collapsed="false">
      <c r="A63" s="11" t="s">
        <v>125</v>
      </c>
      <c r="B63" s="25" t="n">
        <v>0.1035</v>
      </c>
      <c r="C63" s="13" t="s">
        <v>126</v>
      </c>
    </row>
    <row r="64" customFormat="false" ht="15" hidden="false" customHeight="false" outlineLevel="0" collapsed="false">
      <c r="A64" s="22" t="s">
        <v>127</v>
      </c>
      <c r="B64" s="26" t="n">
        <f aca="false">B62+B63</f>
        <v>0.24</v>
      </c>
      <c r="C64" s="13" t="s">
        <v>128</v>
      </c>
    </row>
    <row r="66" customFormat="false" ht="15" hidden="false" customHeight="false" outlineLevel="0" collapsed="false">
      <c r="A66" s="9" t="s">
        <v>129</v>
      </c>
      <c r="B66" s="10"/>
      <c r="C66" s="10"/>
    </row>
    <row r="67" customFormat="false" ht="15" hidden="false" customHeight="false" outlineLevel="0" collapsed="false">
      <c r="A67" s="22" t="s">
        <v>130</v>
      </c>
      <c r="B67" s="27" t="n">
        <f aca="false">(B59-B58)/B42</f>
        <v>4</v>
      </c>
      <c r="C67" s="13" t="s">
        <v>131</v>
      </c>
    </row>
    <row r="68" customFormat="false" ht="15" hidden="false" customHeight="false" outlineLevel="0" collapsed="false">
      <c r="A68" s="22" t="s">
        <v>132</v>
      </c>
      <c r="B68" s="28" t="n">
        <f aca="false">IFERROR(INDEX('Projeção Mensal'!A6:A29,MATCH("Sim",'Projeção Mensal'!X6:X29,0)),"Não atinge")</f>
        <v>6</v>
      </c>
      <c r="C68" s="13" t="s">
        <v>133</v>
      </c>
    </row>
    <row r="69" customFormat="false" ht="15" hidden="false" customHeight="false" outlineLevel="0" collapsed="false">
      <c r="A69" s="22" t="s">
        <v>134</v>
      </c>
      <c r="B69" s="29" t="n">
        <f aca="false">'Necessidade de Caixa e Payback'!F32</f>
        <v>120917.625</v>
      </c>
      <c r="C69" s="13" t="s">
        <v>135</v>
      </c>
    </row>
    <row r="70" customFormat="false" ht="15" hidden="false" customHeight="false" outlineLevel="0" collapsed="false">
      <c r="A70" s="22" t="s">
        <v>136</v>
      </c>
      <c r="B70" s="29" t="n">
        <f aca="false">B59-B69</f>
        <v>29082.375</v>
      </c>
      <c r="C70" s="13" t="s">
        <v>137</v>
      </c>
    </row>
    <row r="71" customFormat="false" ht="15" hidden="false" customHeight="false" outlineLevel="0" collapsed="false">
      <c r="A71" s="22" t="s">
        <v>138</v>
      </c>
      <c r="B71" s="29" t="n">
        <f aca="false">'VPL e TIR'!B38</f>
        <v>172527.17474949</v>
      </c>
      <c r="C71" s="13" t="s">
        <v>139</v>
      </c>
    </row>
    <row r="72" customFormat="false" ht="15" hidden="false" customHeight="false" outlineLevel="0" collapsed="false">
      <c r="A72" s="22" t="s">
        <v>140</v>
      </c>
      <c r="B72" s="30" t="n">
        <f aca="false">'VPL e TIR'!B40</f>
        <v>1.31180138851585</v>
      </c>
      <c r="C72" s="13" t="s">
        <v>141</v>
      </c>
    </row>
    <row r="73" customFormat="false" ht="15" hidden="false" customHeight="false" outlineLevel="0" collapsed="false">
      <c r="A73" s="22" t="s">
        <v>142</v>
      </c>
      <c r="B73" s="31" t="n">
        <f aca="false">'VPL e TIR'!B43</f>
        <v>16</v>
      </c>
      <c r="C73" s="13" t="s">
        <v>143</v>
      </c>
    </row>
    <row r="74" customFormat="false" ht="15" hidden="false" customHeight="false" outlineLevel="0" collapsed="false">
      <c r="A74" s="22" t="s">
        <v>144</v>
      </c>
      <c r="B74" s="31" t="n">
        <f aca="false">'VPL e TIR'!B44</f>
        <v>18</v>
      </c>
      <c r="C74" s="13" t="s">
        <v>145</v>
      </c>
    </row>
    <row r="75" customFormat="false" ht="15" hidden="false" customHeight="false" outlineLevel="0" collapsed="false">
      <c r="A75" s="22" t="s">
        <v>146</v>
      </c>
      <c r="B75" s="29" t="n">
        <f aca="false">AVERAGE('Projeção Mensal'!W18:W29)</f>
        <v>5178.5125</v>
      </c>
      <c r="C75" s="13" t="s">
        <v>147</v>
      </c>
    </row>
    <row r="77" customFormat="false" ht="15" hidden="false" customHeight="false" outlineLevel="0" collapsed="false">
      <c r="A77" s="9" t="s">
        <v>148</v>
      </c>
      <c r="B77" s="10"/>
      <c r="C77" s="10"/>
    </row>
    <row r="78" customFormat="false" ht="15" hidden="false" customHeight="false" outlineLevel="0" collapsed="false">
      <c r="A78" s="18" t="s">
        <v>149</v>
      </c>
      <c r="B78" s="18" t="s">
        <v>150</v>
      </c>
      <c r="C78" s="18" t="s">
        <v>151</v>
      </c>
    </row>
    <row r="79" customFormat="false" ht="15" hidden="false" customHeight="false" outlineLevel="0" collapsed="false">
      <c r="A79" s="32" t="n">
        <v>0.2</v>
      </c>
      <c r="B79" s="15" t="n">
        <f aca="false">'Fluxo de Caixa'!$G$5+NPV((1+A79)^(1/12)-1,'Fluxo de Caixa'!$G$6:$G$29)</f>
        <v>187211.829922097</v>
      </c>
      <c r="C79" s="33" t="str">
        <f aca="false">IF(B79&gt;0,"Viável a esta taxa","Inviável a esta taxa")</f>
        <v>Viável a esta taxa</v>
      </c>
    </row>
    <row r="80" customFormat="false" ht="15" hidden="false" customHeight="false" outlineLevel="0" collapsed="false">
      <c r="A80" s="32" t="n">
        <v>0.24</v>
      </c>
      <c r="B80" s="15" t="n">
        <f aca="false">'Fluxo de Caixa'!$G$5+NPV((1+A80)^(1/12)-1,'Fluxo de Caixa'!$G$6:$G$29)</f>
        <v>172527.17474949</v>
      </c>
      <c r="C80" s="33" t="str">
        <f aca="false">IF(B80&gt;0,"Viável a esta taxa","Inviável a esta taxa")</f>
        <v>Viável a esta taxa</v>
      </c>
    </row>
    <row r="81" customFormat="false" ht="15" hidden="false" customHeight="false" outlineLevel="0" collapsed="false">
      <c r="A81" s="32" t="n">
        <v>0.27</v>
      </c>
      <c r="B81" s="15" t="n">
        <f aca="false">'Fluxo de Caixa'!$G$5+NPV((1+A81)^(1/12)-1,'Fluxo de Caixa'!$G$6:$G$29)</f>
        <v>162298.642705966</v>
      </c>
      <c r="C81" s="33" t="str">
        <f aca="false">IF(B81&gt;0,"Viável a esta taxa","Inviável a esta taxa")</f>
        <v>Viável a esta taxa</v>
      </c>
    </row>
    <row r="82" customFormat="false" ht="15" hidden="false" customHeight="false" outlineLevel="0" collapsed="false">
      <c r="A82" s="32" t="n">
        <v>0.29</v>
      </c>
      <c r="B82" s="15" t="n">
        <f aca="false">'Fluxo de Caixa'!$G$5+NPV((1+A82)^(1/12)-1,'Fluxo de Caixa'!$G$6:$G$29)</f>
        <v>155821.946695353</v>
      </c>
      <c r="C82" s="33" t="str">
        <f aca="false">IF(B82&gt;0,"Viável a esta taxa","Inviável a esta taxa")</f>
        <v>Viável a esta taxa</v>
      </c>
    </row>
    <row r="83" customFormat="false" ht="15" hidden="false" customHeight="false" outlineLevel="0" collapsed="false">
      <c r="A83" s="32" t="n">
        <v>0.33</v>
      </c>
      <c r="B83" s="15" t="n">
        <f aca="false">'Fluxo de Caixa'!$G$5+NPV((1+A83)^(1/12)-1,'Fluxo de Caixa'!$G$6:$G$29)</f>
        <v>143623.164560387</v>
      </c>
      <c r="C83" s="33" t="str">
        <f aca="false">IF(B83&gt;0,"Viável a esta taxa","Inviável a esta taxa")</f>
        <v>Viável a esta taxa</v>
      </c>
    </row>
    <row r="84" customFormat="false" ht="15" hidden="false" customHeight="false" outlineLevel="0" collapsed="false">
      <c r="A84" s="21" t="s">
        <v>152</v>
      </c>
    </row>
    <row r="86" customFormat="false" ht="15" hidden="false" customHeight="false" outlineLevel="0" collapsed="false">
      <c r="A86" s="9" t="s">
        <v>153</v>
      </c>
      <c r="B86" s="10"/>
      <c r="C86" s="10"/>
    </row>
    <row r="87" customFormat="false" ht="15" hidden="false" customHeight="false" outlineLevel="0" collapsed="false">
      <c r="A87" s="11" t="s">
        <v>154</v>
      </c>
      <c r="B87" s="16" t="n">
        <v>5</v>
      </c>
      <c r="C87" s="13" t="s">
        <v>155</v>
      </c>
    </row>
    <row r="88" customFormat="false" ht="15" hidden="false" customHeight="false" outlineLevel="0" collapsed="false">
      <c r="A88" s="11" t="s">
        <v>156</v>
      </c>
      <c r="B88" s="12" t="n">
        <v>300</v>
      </c>
      <c r="C88" s="13" t="s">
        <v>157</v>
      </c>
    </row>
    <row r="89" customFormat="false" ht="15" hidden="false" customHeight="false" outlineLevel="0" collapsed="false">
      <c r="A89" s="11" t="s">
        <v>158</v>
      </c>
      <c r="B89" s="34" t="n">
        <v>1</v>
      </c>
      <c r="C89" s="13" t="s">
        <v>159</v>
      </c>
    </row>
    <row r="90" customFormat="false" ht="15" hidden="false" customHeight="false" outlineLevel="0" collapsed="false">
      <c r="A90" s="11" t="s">
        <v>160</v>
      </c>
      <c r="B90" s="12" t="n">
        <v>18</v>
      </c>
      <c r="C90" s="13" t="s">
        <v>161</v>
      </c>
    </row>
    <row r="91" customFormat="false" ht="15" hidden="false" customHeight="false" outlineLevel="0" collapsed="false">
      <c r="A91" s="11" t="s">
        <v>162</v>
      </c>
      <c r="B91" s="16" t="n">
        <v>1</v>
      </c>
      <c r="C91" s="13" t="s">
        <v>163</v>
      </c>
    </row>
    <row r="92" customFormat="false" ht="15" hidden="false" customHeight="false" outlineLevel="0" collapsed="false">
      <c r="A92" s="11" t="s">
        <v>164</v>
      </c>
      <c r="B92" s="16" t="n">
        <v>3</v>
      </c>
      <c r="C92" s="13" t="s">
        <v>165</v>
      </c>
    </row>
    <row r="93" customFormat="false" ht="15" hidden="false" customHeight="false" outlineLevel="0" collapsed="false">
      <c r="A93" s="11" t="s">
        <v>166</v>
      </c>
      <c r="B93" s="15" t="n">
        <f aca="false">B8+B88*B89</f>
        <v>1497</v>
      </c>
      <c r="C93" s="13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Z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4" min="3" style="0" width="10"/>
    <col collapsed="false" customWidth="true" hidden="false" outlineLevel="0" max="5" min="5" style="0" width="11"/>
    <col collapsed="false" customWidth="true" hidden="false" outlineLevel="0" max="8" min="6" style="0" width="14"/>
    <col collapsed="false" customWidth="true" hidden="false" outlineLevel="0" max="10" min="9" style="0" width="15"/>
    <col collapsed="false" customWidth="true" hidden="false" outlineLevel="0" max="11" min="11" style="0" width="11"/>
    <col collapsed="false" customWidth="true" hidden="false" outlineLevel="0" max="12" min="12" style="0" width="14"/>
    <col collapsed="false" customWidth="true" hidden="false" outlineLevel="0" max="15" min="13" style="0" width="13"/>
    <col collapsed="false" customWidth="true" hidden="false" outlineLevel="0" max="16" min="16" style="0" width="14"/>
    <col collapsed="false" customWidth="true" hidden="false" outlineLevel="0" max="17" min="17" style="0" width="13"/>
    <col collapsed="false" customWidth="true" hidden="false" outlineLevel="0" max="18" min="18" style="0" width="15"/>
    <col collapsed="false" customWidth="true" hidden="false" outlineLevel="0" max="19" min="19" style="0" width="13"/>
    <col collapsed="false" customWidth="true" hidden="false" outlineLevel="0" max="20" min="20" style="0" width="14"/>
    <col collapsed="false" customWidth="true" hidden="false" outlineLevel="0" max="22" min="21" style="0" width="15"/>
    <col collapsed="false" customWidth="true" hidden="false" outlineLevel="0" max="23" min="23" style="0" width="13"/>
    <col collapsed="false" customWidth="true" hidden="false" outlineLevel="0" max="24" min="24" style="0" width="10"/>
    <col collapsed="false" customWidth="true" hidden="false" outlineLevel="0" max="26" min="25" style="0" width="11"/>
  </cols>
  <sheetData>
    <row r="1" customFormat="false" ht="21.75" hidden="false" customHeight="true" outlineLevel="0" collapsed="false">
      <c r="A1" s="6" t="s">
        <v>168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customFormat="false" ht="15" hidden="false" customHeight="false" outlineLevel="0" collapsed="false">
      <c r="A2" s="8" t="s">
        <v>169</v>
      </c>
    </row>
    <row r="4" customFormat="false" ht="42" hidden="false" customHeight="true" outlineLevel="0" collapsed="false">
      <c r="A4" s="18" t="s">
        <v>170</v>
      </c>
      <c r="B4" s="18" t="s">
        <v>171</v>
      </c>
      <c r="C4" s="18" t="s">
        <v>172</v>
      </c>
      <c r="D4" s="18" t="s">
        <v>173</v>
      </c>
      <c r="E4" s="18" t="s">
        <v>174</v>
      </c>
      <c r="F4" s="18" t="s">
        <v>175</v>
      </c>
      <c r="G4" s="18" t="s">
        <v>176</v>
      </c>
      <c r="H4" s="18" t="s">
        <v>177</v>
      </c>
      <c r="I4" s="18" t="s">
        <v>178</v>
      </c>
      <c r="J4" s="18" t="s">
        <v>179</v>
      </c>
      <c r="K4" s="18" t="s">
        <v>180</v>
      </c>
      <c r="L4" s="18" t="s">
        <v>181</v>
      </c>
      <c r="M4" s="18" t="s">
        <v>182</v>
      </c>
      <c r="N4" s="18" t="s">
        <v>183</v>
      </c>
      <c r="O4" s="18" t="s">
        <v>184</v>
      </c>
      <c r="P4" s="18" t="s">
        <v>185</v>
      </c>
      <c r="Q4" s="18" t="s">
        <v>186</v>
      </c>
      <c r="R4" s="18" t="s">
        <v>187</v>
      </c>
      <c r="S4" s="18" t="s">
        <v>188</v>
      </c>
      <c r="T4" s="18" t="s">
        <v>189</v>
      </c>
      <c r="U4" s="18" t="s">
        <v>190</v>
      </c>
      <c r="V4" s="18" t="s">
        <v>191</v>
      </c>
      <c r="W4" s="18" t="s">
        <v>192</v>
      </c>
      <c r="X4" s="18" t="s">
        <v>193</v>
      </c>
      <c r="Y4" s="18" t="s">
        <v>194</v>
      </c>
      <c r="Z4" s="18" t="s">
        <v>195</v>
      </c>
    </row>
    <row r="5" customFormat="false" ht="15" hidden="false" customHeight="false" outlineLevel="0" collapsed="false">
      <c r="A5" s="35" t="n">
        <v>0</v>
      </c>
      <c r="B5" s="36" t="n">
        <v>0</v>
      </c>
      <c r="C5" s="36" t="n">
        <v>0</v>
      </c>
      <c r="D5" s="36" t="n">
        <v>0</v>
      </c>
      <c r="E5" s="36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33"/>
      <c r="L5" s="15" t="n">
        <v>0</v>
      </c>
      <c r="M5" s="15" t="n">
        <v>0</v>
      </c>
      <c r="N5" s="15" t="n">
        <v>0</v>
      </c>
      <c r="O5" s="15" t="n">
        <v>0</v>
      </c>
      <c r="P5" s="15" t="n">
        <v>0</v>
      </c>
      <c r="Q5" s="15" t="n">
        <v>0</v>
      </c>
      <c r="R5" s="15" t="n">
        <v>0</v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37" t="s">
        <v>196</v>
      </c>
      <c r="Y5" s="36" t="n">
        <v>0</v>
      </c>
      <c r="Z5" s="36" t="n">
        <v>0</v>
      </c>
    </row>
    <row r="6" customFormat="false" ht="15" hidden="false" customHeight="false" outlineLevel="0" collapsed="false">
      <c r="A6" s="35" t="n">
        <v>1</v>
      </c>
      <c r="B6" s="38" t="n">
        <v>4</v>
      </c>
      <c r="C6" s="38" t="n">
        <v>0</v>
      </c>
      <c r="D6" s="38" t="n">
        <v>0</v>
      </c>
      <c r="E6" s="39" t="n">
        <f aca="false">SUMPRODUCT(($A$6:$A$29&gt;A6-'Premissas Precept'!$B$11)*($A$6:$A$29&lt;=A6)*$D$6:$D$29)</f>
        <v>0</v>
      </c>
      <c r="F6" s="15" t="n">
        <f aca="false">Z6*('Premissas Precept'!$B$8+'Premissas Precept'!$B$88*'Premissas Precept'!$B$89)</f>
        <v>5988</v>
      </c>
      <c r="G6" s="15" t="n">
        <f aca="false">C6*'Premissas Precept'!$B$9</f>
        <v>0</v>
      </c>
      <c r="H6" s="15" t="n">
        <f aca="false">D6*'Premissas Precept'!$B$10</f>
        <v>0</v>
      </c>
      <c r="I6" s="23" t="n">
        <f aca="false">F6+G6+H6</f>
        <v>5988</v>
      </c>
      <c r="J6" s="15" t="n">
        <f aca="false">I6*12</f>
        <v>71856</v>
      </c>
      <c r="K6" s="40" t="n">
        <f aca="false">IF(J6&lt;=0,'Premissas Precept'!$C$24,(J6*LOOKUP(J6,'Premissas Precept'!$B$24:$B$29,'Premissas Precept'!$C$24:$C$29)-LOOKUP(J6,'Premissas Precept'!$B$24:$B$29,'Premissas Precept'!$D$24:$D$29))/J6)</f>
        <v>0.155</v>
      </c>
      <c r="L6" s="15" t="n">
        <f aca="false">I6*K6</f>
        <v>928.14</v>
      </c>
      <c r="M6" s="15" t="n">
        <f aca="false">B6*('Premissas Precept'!$B$15+'Premissas Precept'!$B$89*'Premissas Precept'!$B$90)</f>
        <v>432</v>
      </c>
      <c r="N6" s="15" t="n">
        <f aca="false">I6*'Premissas Precept'!$B$16</f>
        <v>119.76</v>
      </c>
      <c r="O6" s="15" t="n">
        <f aca="false">(G6+H6)*'Premissas Precept'!$B$17</f>
        <v>0</v>
      </c>
      <c r="P6" s="15" t="n">
        <f aca="false">(G6+H6)*'Premissas Precept'!$B$18</f>
        <v>0</v>
      </c>
      <c r="Q6" s="15" t="n">
        <f aca="false">C6*'Premissas Precept'!$B$19+D6*'Premissas Precept'!$B$20</f>
        <v>0</v>
      </c>
      <c r="R6" s="23" t="n">
        <f aca="false">SUM(L6:Q6)</f>
        <v>1479.9</v>
      </c>
      <c r="S6" s="15" t="n">
        <f aca="false">'Premissas Precept'!$B$42</f>
        <v>12000</v>
      </c>
      <c r="T6" s="15" t="n">
        <f aca="false">IF(A6&gt;='Premissas Precept'!$B$47,'Premissas Precept'!$B$48*I6,0)</f>
        <v>0</v>
      </c>
      <c r="U6" s="23" t="n">
        <f aca="false">S6+T6</f>
        <v>12000</v>
      </c>
      <c r="V6" s="23" t="n">
        <f aca="false">I6-R6-U6</f>
        <v>-7491.9</v>
      </c>
      <c r="W6" s="15" t="n">
        <f aca="false">T6/'Premissas Precept'!$B$45</f>
        <v>0</v>
      </c>
      <c r="X6" s="37" t="str">
        <f aca="false">IF(V6&gt;=0,"Sim","Não")</f>
        <v>Não</v>
      </c>
      <c r="Y6" s="39" t="n">
        <f aca="false">C6*'Premissas Precept'!$B$91+SUMPRODUCT(($A$6:$A$29&gt;A6-'Premissas Precept'!$B$92)*($A$6:$A$29&lt;=A6)*$D$6:$D$29)</f>
        <v>0</v>
      </c>
      <c r="Z6" s="39" t="n">
        <f aca="false">MAX(0,B6-Y6)</f>
        <v>4</v>
      </c>
    </row>
    <row r="7" customFormat="false" ht="15" hidden="false" customHeight="false" outlineLevel="0" collapsed="false">
      <c r="A7" s="35" t="n">
        <v>2</v>
      </c>
      <c r="B7" s="38" t="n">
        <v>6</v>
      </c>
      <c r="C7" s="38" t="n">
        <v>0</v>
      </c>
      <c r="D7" s="38" t="n">
        <v>0</v>
      </c>
      <c r="E7" s="39" t="n">
        <f aca="false">SUMPRODUCT(($A$6:$A$29&gt;A7-'Premissas Precept'!$B$11)*($A$6:$A$29&lt;=A7)*$D$6:$D$29)</f>
        <v>0</v>
      </c>
      <c r="F7" s="15" t="n">
        <f aca="false">Z7*('Premissas Precept'!$B$8+'Premissas Precept'!$B$88*'Premissas Precept'!$B$89)</f>
        <v>8982</v>
      </c>
      <c r="G7" s="15" t="n">
        <f aca="false">C7*'Premissas Precept'!$B$9</f>
        <v>0</v>
      </c>
      <c r="H7" s="15" t="n">
        <f aca="false">D7*'Premissas Precept'!$B$10</f>
        <v>0</v>
      </c>
      <c r="I7" s="23" t="n">
        <f aca="false">F7+G7+H7</f>
        <v>8982</v>
      </c>
      <c r="J7" s="15" t="n">
        <f aca="false">AVERAGE(I$6:I6)*12</f>
        <v>71856</v>
      </c>
      <c r="K7" s="40" t="n">
        <f aca="false">IF(J7&lt;=0,'Premissas Precept'!$C$24,(J7*LOOKUP(J7,'Premissas Precept'!$B$24:$B$29,'Premissas Precept'!$C$24:$C$29)-LOOKUP(J7,'Premissas Precept'!$B$24:$B$29,'Premissas Precept'!$D$24:$D$29))/J7)</f>
        <v>0.155</v>
      </c>
      <c r="L7" s="15" t="n">
        <f aca="false">I7*K7</f>
        <v>1392.21</v>
      </c>
      <c r="M7" s="15" t="n">
        <f aca="false">B7*('Premissas Precept'!$B$15+'Premissas Precept'!$B$89*'Premissas Precept'!$B$90)</f>
        <v>648</v>
      </c>
      <c r="N7" s="15" t="n">
        <f aca="false">I7*'Premissas Precept'!$B$16</f>
        <v>179.64</v>
      </c>
      <c r="O7" s="15" t="n">
        <f aca="false">(G7+H7)*'Premissas Precept'!$B$17</f>
        <v>0</v>
      </c>
      <c r="P7" s="15" t="n">
        <f aca="false">(G7+H7)*'Premissas Precept'!$B$18</f>
        <v>0</v>
      </c>
      <c r="Q7" s="15" t="n">
        <f aca="false">C7*'Premissas Precept'!$B$19+D7*'Premissas Precept'!$B$20</f>
        <v>0</v>
      </c>
      <c r="R7" s="23" t="n">
        <f aca="false">SUM(L7:Q7)</f>
        <v>2219.85</v>
      </c>
      <c r="S7" s="15" t="n">
        <f aca="false">'Premissas Precept'!$B$42</f>
        <v>12000</v>
      </c>
      <c r="T7" s="15" t="n">
        <f aca="false">IF(A7&gt;='Premissas Precept'!$B$47,'Premissas Precept'!$B$48*I7,0)</f>
        <v>0</v>
      </c>
      <c r="U7" s="23" t="n">
        <f aca="false">S7+T7</f>
        <v>12000</v>
      </c>
      <c r="V7" s="23" t="n">
        <f aca="false">I7-R7-U7</f>
        <v>-5237.85</v>
      </c>
      <c r="W7" s="15" t="n">
        <f aca="false">T7/'Premissas Precept'!$B$45</f>
        <v>0</v>
      </c>
      <c r="X7" s="37" t="str">
        <f aca="false">IF(V7&gt;=0,"Sim","Não")</f>
        <v>Não</v>
      </c>
      <c r="Y7" s="39" t="n">
        <f aca="false">C7*'Premissas Precept'!$B$91+SUMPRODUCT(($A$6:$A$29&gt;A7-'Premissas Precept'!$B$92)*($A$6:$A$29&lt;=A7)*$D$6:$D$29)</f>
        <v>0</v>
      </c>
      <c r="Z7" s="39" t="n">
        <f aca="false">MAX(0,B7-Y7)</f>
        <v>6</v>
      </c>
    </row>
    <row r="8" customFormat="false" ht="15" hidden="false" customHeight="false" outlineLevel="0" collapsed="false">
      <c r="A8" s="35" t="n">
        <v>3</v>
      </c>
      <c r="B8" s="38" t="n">
        <v>9</v>
      </c>
      <c r="C8" s="38" t="n">
        <v>0</v>
      </c>
      <c r="D8" s="38" t="n">
        <v>0</v>
      </c>
      <c r="E8" s="39" t="n">
        <f aca="false">SUMPRODUCT(($A$6:$A$29&gt;A8-'Premissas Precept'!$B$11)*($A$6:$A$29&lt;=A8)*$D$6:$D$29)</f>
        <v>0</v>
      </c>
      <c r="F8" s="15" t="n">
        <f aca="false">Z8*('Premissas Precept'!$B$8+'Premissas Precept'!$B$88*'Premissas Precept'!$B$89)</f>
        <v>13473</v>
      </c>
      <c r="G8" s="15" t="n">
        <f aca="false">C8*'Premissas Precept'!$B$9</f>
        <v>0</v>
      </c>
      <c r="H8" s="15" t="n">
        <f aca="false">D8*'Premissas Precept'!$B$10</f>
        <v>0</v>
      </c>
      <c r="I8" s="23" t="n">
        <f aca="false">F8+G8+H8</f>
        <v>13473</v>
      </c>
      <c r="J8" s="15" t="n">
        <f aca="false">AVERAGE(I$6:I7)*12</f>
        <v>89820</v>
      </c>
      <c r="K8" s="40" t="n">
        <f aca="false">IF(J8&lt;=0,'Premissas Precept'!$C$24,(J8*LOOKUP(J8,'Premissas Precept'!$B$24:$B$29,'Premissas Precept'!$C$24:$C$29)-LOOKUP(J8,'Premissas Precept'!$B$24:$B$29,'Premissas Precept'!$D$24:$D$29))/J8)</f>
        <v>0.155</v>
      </c>
      <c r="L8" s="15" t="n">
        <f aca="false">I8*K8</f>
        <v>2088.315</v>
      </c>
      <c r="M8" s="15" t="n">
        <f aca="false">B8*('Premissas Precept'!$B$15+'Premissas Precept'!$B$89*'Premissas Precept'!$B$90)</f>
        <v>972</v>
      </c>
      <c r="N8" s="15" t="n">
        <f aca="false">I8*'Premissas Precept'!$B$16</f>
        <v>269.46</v>
      </c>
      <c r="O8" s="15" t="n">
        <f aca="false">(G8+H8)*'Premissas Precept'!$B$17</f>
        <v>0</v>
      </c>
      <c r="P8" s="15" t="n">
        <f aca="false">(G8+H8)*'Premissas Precept'!$B$18</f>
        <v>0</v>
      </c>
      <c r="Q8" s="15" t="n">
        <f aca="false">C8*'Premissas Precept'!$B$19+D8*'Premissas Precept'!$B$20</f>
        <v>0</v>
      </c>
      <c r="R8" s="23" t="n">
        <f aca="false">SUM(L8:Q8)</f>
        <v>3329.775</v>
      </c>
      <c r="S8" s="15" t="n">
        <f aca="false">'Premissas Precept'!$B$42</f>
        <v>12000</v>
      </c>
      <c r="T8" s="15" t="n">
        <f aca="false">IF(A8&gt;='Premissas Precept'!$B$47,'Premissas Precept'!$B$48*I8,0)</f>
        <v>0</v>
      </c>
      <c r="U8" s="23" t="n">
        <f aca="false">S8+T8</f>
        <v>12000</v>
      </c>
      <c r="V8" s="23" t="n">
        <f aca="false">I8-R8-U8</f>
        <v>-1856.775</v>
      </c>
      <c r="W8" s="15" t="n">
        <f aca="false">T8/'Premissas Precept'!$B$45</f>
        <v>0</v>
      </c>
      <c r="X8" s="37" t="str">
        <f aca="false">IF(V8&gt;=0,"Sim","Não")</f>
        <v>Não</v>
      </c>
      <c r="Y8" s="39" t="n">
        <f aca="false">C8*'Premissas Precept'!$B$91+SUMPRODUCT(($A$6:$A$29&gt;A8-'Premissas Precept'!$B$92)*($A$6:$A$29&lt;=A8)*$D$6:$D$29)</f>
        <v>0</v>
      </c>
      <c r="Z8" s="39" t="n">
        <f aca="false">MAX(0,B8-Y8)</f>
        <v>9</v>
      </c>
    </row>
    <row r="9" customFormat="false" ht="15" hidden="false" customHeight="false" outlineLevel="0" collapsed="false">
      <c r="A9" s="35" t="n">
        <v>4</v>
      </c>
      <c r="B9" s="38" t="n">
        <v>11</v>
      </c>
      <c r="C9" s="38" t="n">
        <v>1</v>
      </c>
      <c r="D9" s="38" t="n">
        <v>0</v>
      </c>
      <c r="E9" s="39" t="n">
        <f aca="false">SUMPRODUCT(($A$6:$A$29&gt;A9-'Premissas Precept'!$B$11)*($A$6:$A$29&lt;=A9)*$D$6:$D$29)</f>
        <v>0</v>
      </c>
      <c r="F9" s="15" t="n">
        <f aca="false">Z9*('Premissas Precept'!$B$8+'Premissas Precept'!$B$88*'Premissas Precept'!$B$89)</f>
        <v>14970</v>
      </c>
      <c r="G9" s="15" t="n">
        <f aca="false">C9*'Premissas Precept'!$B$9</f>
        <v>9997</v>
      </c>
      <c r="H9" s="15" t="n">
        <f aca="false">D9*'Premissas Precept'!$B$10</f>
        <v>0</v>
      </c>
      <c r="I9" s="23" t="n">
        <f aca="false">F9+G9+H9</f>
        <v>24967</v>
      </c>
      <c r="J9" s="15" t="n">
        <f aca="false">AVERAGE(I$6:I8)*12</f>
        <v>113772</v>
      </c>
      <c r="K9" s="40" t="n">
        <f aca="false">IF(J9&lt;=0,'Premissas Precept'!$C$24,(J9*LOOKUP(J9,'Premissas Precept'!$B$24:$B$29,'Premissas Precept'!$C$24:$C$29)-LOOKUP(J9,'Premissas Precept'!$B$24:$B$29,'Premissas Precept'!$D$24:$D$29))/J9)</f>
        <v>0.155</v>
      </c>
      <c r="L9" s="15" t="n">
        <f aca="false">I9*K9</f>
        <v>3869.885</v>
      </c>
      <c r="M9" s="15" t="n">
        <f aca="false">B9*('Premissas Precept'!$B$15+'Premissas Precept'!$B$89*'Premissas Precept'!$B$90)</f>
        <v>1188</v>
      </c>
      <c r="N9" s="15" t="n">
        <f aca="false">I9*'Premissas Precept'!$B$16</f>
        <v>499.34</v>
      </c>
      <c r="O9" s="15" t="n">
        <f aca="false">(G9+H9)*'Premissas Precept'!$B$17</f>
        <v>499.85</v>
      </c>
      <c r="P9" s="15" t="n">
        <f aca="false">(G9+H9)*'Premissas Precept'!$B$18</f>
        <v>3498.95</v>
      </c>
      <c r="Q9" s="15" t="n">
        <f aca="false">C9*'Premissas Precept'!$B$19+D9*'Premissas Precept'!$B$20</f>
        <v>600</v>
      </c>
      <c r="R9" s="23" t="n">
        <f aca="false">SUM(L9:Q9)</f>
        <v>10156.025</v>
      </c>
      <c r="S9" s="15" t="n">
        <f aca="false">'Premissas Precept'!$B$42</f>
        <v>12000</v>
      </c>
      <c r="T9" s="15" t="n">
        <f aca="false">IF(A9&gt;='Premissas Precept'!$B$47,'Premissas Precept'!$B$48*I9,0)</f>
        <v>6116.915</v>
      </c>
      <c r="U9" s="23" t="n">
        <f aca="false">S9+T9</f>
        <v>18116.915</v>
      </c>
      <c r="V9" s="23" t="n">
        <f aca="false">I9-R9-U9</f>
        <v>-3305.94</v>
      </c>
      <c r="W9" s="15" t="n">
        <f aca="false">T9/'Premissas Precept'!$B$45</f>
        <v>873.845</v>
      </c>
      <c r="X9" s="37" t="str">
        <f aca="false">IF(V9&gt;=0,"Sim","Não")</f>
        <v>Não</v>
      </c>
      <c r="Y9" s="39" t="n">
        <f aca="false">C9*'Premissas Precept'!$B$91+SUMPRODUCT(($A$6:$A$29&gt;A9-'Premissas Precept'!$B$92)*($A$6:$A$29&lt;=A9)*$D$6:$D$29)</f>
        <v>1</v>
      </c>
      <c r="Z9" s="39" t="n">
        <f aca="false">MAX(0,B9-Y9)</f>
        <v>10</v>
      </c>
    </row>
    <row r="10" customFormat="false" ht="15" hidden="false" customHeight="false" outlineLevel="0" collapsed="false">
      <c r="A10" s="35" t="n">
        <v>5</v>
      </c>
      <c r="B10" s="38" t="n">
        <v>14</v>
      </c>
      <c r="C10" s="38" t="n">
        <v>1</v>
      </c>
      <c r="D10" s="38" t="n">
        <v>0</v>
      </c>
      <c r="E10" s="39" t="n">
        <f aca="false">SUMPRODUCT(($A$6:$A$29&gt;A10-'Premissas Precept'!$B$11)*($A$6:$A$29&lt;=A10)*$D$6:$D$29)</f>
        <v>0</v>
      </c>
      <c r="F10" s="15" t="n">
        <f aca="false">Z10*('Premissas Precept'!$B$8+'Premissas Precept'!$B$88*'Premissas Precept'!$B$89)</f>
        <v>19461</v>
      </c>
      <c r="G10" s="15" t="n">
        <f aca="false">C10*'Premissas Precept'!$B$9</f>
        <v>9997</v>
      </c>
      <c r="H10" s="15" t="n">
        <f aca="false">D10*'Premissas Precept'!$B$10</f>
        <v>0</v>
      </c>
      <c r="I10" s="23" t="n">
        <f aca="false">F10+G10+H10</f>
        <v>29458</v>
      </c>
      <c r="J10" s="15" t="n">
        <f aca="false">AVERAGE(I$6:I9)*12</f>
        <v>160230</v>
      </c>
      <c r="K10" s="40" t="n">
        <f aca="false">IF(J10&lt;=0,'Premissas Precept'!$C$24,(J10*LOOKUP(J10,'Premissas Precept'!$B$24:$B$29,'Premissas Precept'!$C$24:$C$29)-LOOKUP(J10,'Premissas Precept'!$B$24:$B$29,'Premissas Precept'!$D$24:$D$29))/J10)</f>
        <v>0.155</v>
      </c>
      <c r="L10" s="15" t="n">
        <f aca="false">I10*K10</f>
        <v>4565.99</v>
      </c>
      <c r="M10" s="15" t="n">
        <f aca="false">B10*('Premissas Precept'!$B$15+'Premissas Precept'!$B$89*'Premissas Precept'!$B$90)</f>
        <v>1512</v>
      </c>
      <c r="N10" s="15" t="n">
        <f aca="false">I10*'Premissas Precept'!$B$16</f>
        <v>589.16</v>
      </c>
      <c r="O10" s="15" t="n">
        <f aca="false">(G10+H10)*'Premissas Precept'!$B$17</f>
        <v>499.85</v>
      </c>
      <c r="P10" s="15" t="n">
        <f aca="false">(G10+H10)*'Premissas Precept'!$B$18</f>
        <v>3498.95</v>
      </c>
      <c r="Q10" s="15" t="n">
        <f aca="false">C10*'Premissas Precept'!$B$19+D10*'Premissas Precept'!$B$20</f>
        <v>600</v>
      </c>
      <c r="R10" s="23" t="n">
        <f aca="false">SUM(L10:Q10)</f>
        <v>11265.95</v>
      </c>
      <c r="S10" s="15" t="n">
        <f aca="false">'Premissas Precept'!$B$42</f>
        <v>12000</v>
      </c>
      <c r="T10" s="15" t="n">
        <f aca="false">IF(A10&gt;='Premissas Precept'!$B$47,'Premissas Precept'!$B$48*I10,0)</f>
        <v>7217.21</v>
      </c>
      <c r="U10" s="23" t="n">
        <f aca="false">S10+T10</f>
        <v>19217.21</v>
      </c>
      <c r="V10" s="23" t="n">
        <f aca="false">I10-R10-U10</f>
        <v>-1025.16</v>
      </c>
      <c r="W10" s="15" t="n">
        <f aca="false">T10/'Premissas Precept'!$B$45</f>
        <v>1031.03</v>
      </c>
      <c r="X10" s="37" t="str">
        <f aca="false">IF(V10&gt;=0,"Sim","Não")</f>
        <v>Não</v>
      </c>
      <c r="Y10" s="39" t="n">
        <f aca="false">C10*'Premissas Precept'!$B$91+SUMPRODUCT(($A$6:$A$29&gt;A10-'Premissas Precept'!$B$92)*($A$6:$A$29&lt;=A10)*$D$6:$D$29)</f>
        <v>1</v>
      </c>
      <c r="Z10" s="39" t="n">
        <f aca="false">MAX(0,B10-Y10)</f>
        <v>13</v>
      </c>
    </row>
    <row r="11" customFormat="false" ht="15" hidden="false" customHeight="false" outlineLevel="0" collapsed="false">
      <c r="A11" s="35" t="n">
        <v>6</v>
      </c>
      <c r="B11" s="38" t="n">
        <v>16</v>
      </c>
      <c r="C11" s="38" t="n">
        <v>1</v>
      </c>
      <c r="D11" s="38" t="n">
        <v>1</v>
      </c>
      <c r="E11" s="39" t="n">
        <f aca="false">SUMPRODUCT(($A$6:$A$29&gt;A11-'Premissas Precept'!$B$11)*($A$6:$A$29&lt;=A11)*$D$6:$D$29)</f>
        <v>1</v>
      </c>
      <c r="F11" s="15" t="n">
        <f aca="false">Z11*('Premissas Precept'!$B$8+'Premissas Precept'!$B$88*'Premissas Precept'!$B$89)</f>
        <v>20958</v>
      </c>
      <c r="G11" s="15" t="n">
        <f aca="false">C11*'Premissas Precept'!$B$9</f>
        <v>9997</v>
      </c>
      <c r="H11" s="15" t="n">
        <f aca="false">D11*'Premissas Precept'!$B$10</f>
        <v>29997</v>
      </c>
      <c r="I11" s="23" t="n">
        <f aca="false">F11+G11+H11</f>
        <v>60952</v>
      </c>
      <c r="J11" s="15" t="n">
        <f aca="false">AVERAGE(I$6:I10)*12</f>
        <v>198883.2</v>
      </c>
      <c r="K11" s="40" t="n">
        <f aca="false">IF(J11&lt;=0,'Premissas Precept'!$C$24,(J11*LOOKUP(J11,'Premissas Precept'!$B$24:$B$29,'Premissas Precept'!$C$24:$C$29)-LOOKUP(J11,'Premissas Precept'!$B$24:$B$29,'Premissas Precept'!$D$24:$D$29))/J11)</f>
        <v>0.157373654486653</v>
      </c>
      <c r="L11" s="15" t="n">
        <f aca="false">I11*K11</f>
        <v>9592.2389882705</v>
      </c>
      <c r="M11" s="15" t="n">
        <f aca="false">B11*('Premissas Precept'!$B$15+'Premissas Precept'!$B$89*'Premissas Precept'!$B$90)</f>
        <v>1728</v>
      </c>
      <c r="N11" s="15" t="n">
        <f aca="false">I11*'Premissas Precept'!$B$16</f>
        <v>1219.04</v>
      </c>
      <c r="O11" s="15" t="n">
        <f aca="false">(G11+H11)*'Premissas Precept'!$B$17</f>
        <v>1999.7</v>
      </c>
      <c r="P11" s="15" t="n">
        <f aca="false">(G11+H11)*'Premissas Precept'!$B$18</f>
        <v>13997.9</v>
      </c>
      <c r="Q11" s="15" t="n">
        <f aca="false">C11*'Premissas Precept'!$B$19+D11*'Premissas Precept'!$B$20</f>
        <v>1800</v>
      </c>
      <c r="R11" s="23" t="n">
        <f aca="false">SUM(L11:Q11)</f>
        <v>30336.8789882705</v>
      </c>
      <c r="S11" s="15" t="n">
        <f aca="false">'Premissas Precept'!$B$42</f>
        <v>12000</v>
      </c>
      <c r="T11" s="15" t="n">
        <f aca="false">IF(A11&gt;='Premissas Precept'!$B$47,'Premissas Precept'!$B$48*I11,0)</f>
        <v>14933.24</v>
      </c>
      <c r="U11" s="23" t="n">
        <f aca="false">S11+T11</f>
        <v>26933.24</v>
      </c>
      <c r="V11" s="23" t="n">
        <f aca="false">I11-R11-U11</f>
        <v>3681.8810117295</v>
      </c>
      <c r="W11" s="15" t="n">
        <f aca="false">T11/'Premissas Precept'!$B$45</f>
        <v>2133.32</v>
      </c>
      <c r="X11" s="37" t="str">
        <f aca="false">IF(V11&gt;=0,"Sim","Não")</f>
        <v>Sim</v>
      </c>
      <c r="Y11" s="39" t="n">
        <f aca="false">C11*'Premissas Precept'!$B$91+SUMPRODUCT(($A$6:$A$29&gt;A11-'Premissas Precept'!$B$92)*($A$6:$A$29&lt;=A11)*$D$6:$D$29)</f>
        <v>2</v>
      </c>
      <c r="Z11" s="39" t="n">
        <f aca="false">MAX(0,B11-Y11)</f>
        <v>14</v>
      </c>
    </row>
    <row r="12" customFormat="false" ht="15" hidden="false" customHeight="false" outlineLevel="0" collapsed="false">
      <c r="A12" s="35" t="n">
        <v>7</v>
      </c>
      <c r="B12" s="38" t="n">
        <v>19</v>
      </c>
      <c r="C12" s="38" t="n">
        <v>1</v>
      </c>
      <c r="D12" s="38" t="n">
        <v>0</v>
      </c>
      <c r="E12" s="39" t="n">
        <f aca="false">SUMPRODUCT(($A$6:$A$29&gt;A12-'Premissas Precept'!$B$11)*($A$6:$A$29&lt;=A12)*$D$6:$D$29)</f>
        <v>1</v>
      </c>
      <c r="F12" s="15" t="n">
        <f aca="false">Z12*('Premissas Precept'!$B$8+'Premissas Precept'!$B$88*'Premissas Precept'!$B$89)</f>
        <v>25449</v>
      </c>
      <c r="G12" s="15" t="n">
        <f aca="false">C12*'Premissas Precept'!$B$9</f>
        <v>9997</v>
      </c>
      <c r="H12" s="15" t="n">
        <f aca="false">D12*'Premissas Precept'!$B$10</f>
        <v>0</v>
      </c>
      <c r="I12" s="23" t="n">
        <f aca="false">F12+G12+H12</f>
        <v>35446</v>
      </c>
      <c r="J12" s="15" t="n">
        <f aca="false">AVERAGE(I$6:I11)*12</f>
        <v>287640</v>
      </c>
      <c r="K12" s="40" t="n">
        <f aca="false">IF(J12&lt;=0,'Premissas Precept'!$C$24,(J12*LOOKUP(J12,'Premissas Precept'!$B$24:$B$29,'Premissas Precept'!$C$24:$C$29)-LOOKUP(J12,'Premissas Precept'!$B$24:$B$29,'Premissas Precept'!$D$24:$D$29))/J12)</f>
        <v>0.164355444305382</v>
      </c>
      <c r="L12" s="15" t="n">
        <f aca="false">I12*K12</f>
        <v>5825.74307884856</v>
      </c>
      <c r="M12" s="15" t="n">
        <f aca="false">B12*('Premissas Precept'!$B$15+'Premissas Precept'!$B$89*'Premissas Precept'!$B$90)</f>
        <v>2052</v>
      </c>
      <c r="N12" s="15" t="n">
        <f aca="false">I12*'Premissas Precept'!$B$16</f>
        <v>708.92</v>
      </c>
      <c r="O12" s="15" t="n">
        <f aca="false">(G12+H12)*'Premissas Precept'!$B$17</f>
        <v>499.85</v>
      </c>
      <c r="P12" s="15" t="n">
        <f aca="false">(G12+H12)*'Premissas Precept'!$B$18</f>
        <v>3498.95</v>
      </c>
      <c r="Q12" s="15" t="n">
        <f aca="false">C12*'Premissas Precept'!$B$19+D12*'Premissas Precept'!$B$20</f>
        <v>600</v>
      </c>
      <c r="R12" s="23" t="n">
        <f aca="false">SUM(L12:Q12)</f>
        <v>13185.4630788486</v>
      </c>
      <c r="S12" s="15" t="n">
        <f aca="false">'Premissas Precept'!$B$42</f>
        <v>12000</v>
      </c>
      <c r="T12" s="15" t="n">
        <f aca="false">IF(A12&gt;='Premissas Precept'!$B$47,'Premissas Precept'!$B$48*I12,0)</f>
        <v>8684.27</v>
      </c>
      <c r="U12" s="23" t="n">
        <f aca="false">S12+T12</f>
        <v>20684.27</v>
      </c>
      <c r="V12" s="23" t="n">
        <f aca="false">I12-R12-U12</f>
        <v>1576.26692115144</v>
      </c>
      <c r="W12" s="15" t="n">
        <f aca="false">T12/'Premissas Precept'!$B$45</f>
        <v>1240.61</v>
      </c>
      <c r="X12" s="37" t="str">
        <f aca="false">IF(V12&gt;=0,"Sim","Não")</f>
        <v>Sim</v>
      </c>
      <c r="Y12" s="39" t="n">
        <f aca="false">C12*'Premissas Precept'!$B$91+SUMPRODUCT(($A$6:$A$29&gt;A12-'Premissas Precept'!$B$92)*($A$6:$A$29&lt;=A12)*$D$6:$D$29)</f>
        <v>2</v>
      </c>
      <c r="Z12" s="39" t="n">
        <f aca="false">MAX(0,B12-Y12)</f>
        <v>17</v>
      </c>
    </row>
    <row r="13" customFormat="false" ht="15" hidden="false" customHeight="false" outlineLevel="0" collapsed="false">
      <c r="A13" s="35" t="n">
        <v>8</v>
      </c>
      <c r="B13" s="38" t="n">
        <v>21</v>
      </c>
      <c r="C13" s="38" t="n">
        <v>1</v>
      </c>
      <c r="D13" s="38" t="n">
        <v>1</v>
      </c>
      <c r="E13" s="39" t="n">
        <f aca="false">SUMPRODUCT(($A$6:$A$29&gt;A13-'Premissas Precept'!$B$11)*($A$6:$A$29&lt;=A13)*$D$6:$D$29)</f>
        <v>2</v>
      </c>
      <c r="F13" s="15" t="n">
        <f aca="false">Z13*('Premissas Precept'!$B$8+'Premissas Precept'!$B$88*'Premissas Precept'!$B$89)</f>
        <v>26946</v>
      </c>
      <c r="G13" s="15" t="n">
        <f aca="false">C13*'Premissas Precept'!$B$9</f>
        <v>9997</v>
      </c>
      <c r="H13" s="15" t="n">
        <f aca="false">D13*'Premissas Precept'!$B$10</f>
        <v>29997</v>
      </c>
      <c r="I13" s="23" t="n">
        <f aca="false">F13+G13+H13</f>
        <v>66940</v>
      </c>
      <c r="J13" s="15" t="n">
        <f aca="false">AVERAGE(I$6:I12)*12</f>
        <v>307313.142857143</v>
      </c>
      <c r="K13" s="40" t="n">
        <f aca="false">IF(J13&lt;=0,'Premissas Precept'!$C$24,(J13*LOOKUP(J13,'Premissas Precept'!$B$24:$B$29,'Premissas Precept'!$C$24:$C$29)-LOOKUP(J13,'Premissas Precept'!$B$24:$B$29,'Premissas Precept'!$D$24:$D$29))/J13)</f>
        <v>0.165356955585554</v>
      </c>
      <c r="L13" s="15" t="n">
        <f aca="false">I13*K13</f>
        <v>11068.994606897</v>
      </c>
      <c r="M13" s="15" t="n">
        <f aca="false">B13*('Premissas Precept'!$B$15+'Premissas Precept'!$B$89*'Premissas Precept'!$B$90)</f>
        <v>2268</v>
      </c>
      <c r="N13" s="15" t="n">
        <f aca="false">I13*'Premissas Precept'!$B$16</f>
        <v>1338.8</v>
      </c>
      <c r="O13" s="15" t="n">
        <f aca="false">(G13+H13)*'Premissas Precept'!$B$17</f>
        <v>1999.7</v>
      </c>
      <c r="P13" s="15" t="n">
        <f aca="false">(G13+H13)*'Premissas Precept'!$B$18</f>
        <v>13997.9</v>
      </c>
      <c r="Q13" s="15" t="n">
        <f aca="false">C13*'Premissas Precept'!$B$19+D13*'Premissas Precept'!$B$20</f>
        <v>1800</v>
      </c>
      <c r="R13" s="23" t="n">
        <f aca="false">SUM(L13:Q13)</f>
        <v>32473.394606897</v>
      </c>
      <c r="S13" s="15" t="n">
        <f aca="false">'Premissas Precept'!$B$42</f>
        <v>12000</v>
      </c>
      <c r="T13" s="15" t="n">
        <f aca="false">IF(A13&gt;='Premissas Precept'!$B$47,'Premissas Precept'!$B$48*I13,0)</f>
        <v>16400.3</v>
      </c>
      <c r="U13" s="23" t="n">
        <f aca="false">S13+T13</f>
        <v>28400.3</v>
      </c>
      <c r="V13" s="23" t="n">
        <f aca="false">I13-R13-U13</f>
        <v>6066.30539310299</v>
      </c>
      <c r="W13" s="15" t="n">
        <f aca="false">T13/'Premissas Precept'!$B$45</f>
        <v>2342.9</v>
      </c>
      <c r="X13" s="37" t="str">
        <f aca="false">IF(V13&gt;=0,"Sim","Não")</f>
        <v>Sim</v>
      </c>
      <c r="Y13" s="39" t="n">
        <f aca="false">C13*'Premissas Precept'!$B$91+SUMPRODUCT(($A$6:$A$29&gt;A13-'Premissas Precept'!$B$92)*($A$6:$A$29&lt;=A13)*$D$6:$D$29)</f>
        <v>3</v>
      </c>
      <c r="Z13" s="39" t="n">
        <f aca="false">MAX(0,B13-Y13)</f>
        <v>18</v>
      </c>
    </row>
    <row r="14" customFormat="false" ht="15" hidden="false" customHeight="false" outlineLevel="0" collapsed="false">
      <c r="A14" s="35" t="n">
        <v>9</v>
      </c>
      <c r="B14" s="38" t="n">
        <v>24</v>
      </c>
      <c r="C14" s="38" t="n">
        <v>2</v>
      </c>
      <c r="D14" s="38" t="n">
        <v>0</v>
      </c>
      <c r="E14" s="39" t="n">
        <f aca="false">SUMPRODUCT(($A$6:$A$29&gt;A14-'Premissas Precept'!$B$11)*($A$6:$A$29&lt;=A14)*$D$6:$D$29)</f>
        <v>2</v>
      </c>
      <c r="F14" s="15" t="n">
        <f aca="false">Z14*('Premissas Precept'!$B$8+'Premissas Precept'!$B$88*'Premissas Precept'!$B$89)</f>
        <v>31437</v>
      </c>
      <c r="G14" s="15" t="n">
        <f aca="false">C14*'Premissas Precept'!$B$9</f>
        <v>19994</v>
      </c>
      <c r="H14" s="15" t="n">
        <f aca="false">D14*'Premissas Precept'!$B$10</f>
        <v>0</v>
      </c>
      <c r="I14" s="23" t="n">
        <f aca="false">F14+G14+H14</f>
        <v>51431</v>
      </c>
      <c r="J14" s="15" t="n">
        <f aca="false">AVERAGE(I$6:I13)*12</f>
        <v>369309</v>
      </c>
      <c r="K14" s="40" t="n">
        <f aca="false">IF(J14&lt;=0,'Premissas Precept'!$C$24,(J14*LOOKUP(J14,'Premissas Precept'!$B$24:$B$29,'Premissas Precept'!$C$24:$C$29)-LOOKUP(J14,'Premissas Precept'!$B$24:$B$29,'Premissas Precept'!$D$24:$D$29))/J14)</f>
        <v>0.168193179695052</v>
      </c>
      <c r="L14" s="15" t="n">
        <f aca="false">I14*K14</f>
        <v>8650.34342489623</v>
      </c>
      <c r="M14" s="15" t="n">
        <f aca="false">B14*('Premissas Precept'!$B$15+'Premissas Precept'!$B$89*'Premissas Precept'!$B$90)</f>
        <v>2592</v>
      </c>
      <c r="N14" s="15" t="n">
        <f aca="false">I14*'Premissas Precept'!$B$16</f>
        <v>1028.62</v>
      </c>
      <c r="O14" s="15" t="n">
        <f aca="false">(G14+H14)*'Premissas Precept'!$B$17</f>
        <v>999.7</v>
      </c>
      <c r="P14" s="15" t="n">
        <f aca="false">(G14+H14)*'Premissas Precept'!$B$18</f>
        <v>6997.9</v>
      </c>
      <c r="Q14" s="15" t="n">
        <f aca="false">C14*'Premissas Precept'!$B$19+D14*'Premissas Precept'!$B$20</f>
        <v>1200</v>
      </c>
      <c r="R14" s="23" t="n">
        <f aca="false">SUM(L14:Q14)</f>
        <v>21468.5634248962</v>
      </c>
      <c r="S14" s="15" t="n">
        <f aca="false">'Premissas Precept'!$B$42</f>
        <v>12000</v>
      </c>
      <c r="T14" s="15" t="n">
        <f aca="false">IF(A14&gt;='Premissas Precept'!$B$47,'Premissas Precept'!$B$48*I14,0)</f>
        <v>12600.595</v>
      </c>
      <c r="U14" s="23" t="n">
        <f aca="false">S14+T14</f>
        <v>24600.595</v>
      </c>
      <c r="V14" s="23" t="n">
        <f aca="false">I14-R14-U14</f>
        <v>5361.84157510377</v>
      </c>
      <c r="W14" s="15" t="n">
        <f aca="false">T14/'Premissas Precept'!$B$45</f>
        <v>1800.085</v>
      </c>
      <c r="X14" s="37" t="str">
        <f aca="false">IF(V14&gt;=0,"Sim","Não")</f>
        <v>Sim</v>
      </c>
      <c r="Y14" s="39" t="n">
        <f aca="false">C14*'Premissas Precept'!$B$91+SUMPRODUCT(($A$6:$A$29&gt;A14-'Premissas Precept'!$B$92)*($A$6:$A$29&lt;=A14)*$D$6:$D$29)</f>
        <v>3</v>
      </c>
      <c r="Z14" s="39" t="n">
        <f aca="false">MAX(0,B14-Y14)</f>
        <v>21</v>
      </c>
    </row>
    <row r="15" customFormat="false" ht="15" hidden="false" customHeight="false" outlineLevel="0" collapsed="false">
      <c r="A15" s="35" t="n">
        <v>10</v>
      </c>
      <c r="B15" s="38" t="n">
        <v>26</v>
      </c>
      <c r="C15" s="38" t="n">
        <v>1</v>
      </c>
      <c r="D15" s="38" t="n">
        <v>1</v>
      </c>
      <c r="E15" s="39" t="n">
        <f aca="false">SUMPRODUCT(($A$6:$A$29&gt;A15-'Premissas Precept'!$B$11)*($A$6:$A$29&lt;=A15)*$D$6:$D$29)</f>
        <v>3</v>
      </c>
      <c r="F15" s="15" t="n">
        <f aca="false">Z15*('Premissas Precept'!$B$8+'Premissas Precept'!$B$88*'Premissas Precept'!$B$89)</f>
        <v>34431</v>
      </c>
      <c r="G15" s="15" t="n">
        <f aca="false">C15*'Premissas Precept'!$B$9</f>
        <v>9997</v>
      </c>
      <c r="H15" s="15" t="n">
        <f aca="false">D15*'Premissas Precept'!$B$10</f>
        <v>29997</v>
      </c>
      <c r="I15" s="23" t="n">
        <f aca="false">F15+G15+H15</f>
        <v>74425</v>
      </c>
      <c r="J15" s="15" t="n">
        <f aca="false">AVERAGE(I$6:I14)*12</f>
        <v>396849.333333333</v>
      </c>
      <c r="K15" s="40" t="n">
        <f aca="false">IF(J15&lt;=0,'Premissas Precept'!$C$24,(J15*LOOKUP(J15,'Premissas Precept'!$B$24:$B$29,'Premissas Precept'!$C$24:$C$29)-LOOKUP(J15,'Premissas Precept'!$B$24:$B$29,'Premissas Precept'!$D$24:$D$29))/J15)</f>
        <v>0.170053504772592</v>
      </c>
      <c r="L15" s="15" t="n">
        <f aca="false">I15*K15</f>
        <v>12656.2320927002</v>
      </c>
      <c r="M15" s="15" t="n">
        <f aca="false">B15*('Premissas Precept'!$B$15+'Premissas Precept'!$B$89*'Premissas Precept'!$B$90)</f>
        <v>2808</v>
      </c>
      <c r="N15" s="15" t="n">
        <f aca="false">I15*'Premissas Precept'!$B$16</f>
        <v>1488.5</v>
      </c>
      <c r="O15" s="15" t="n">
        <f aca="false">(G15+H15)*'Premissas Precept'!$B$17</f>
        <v>1999.7</v>
      </c>
      <c r="P15" s="15" t="n">
        <f aca="false">(G15+H15)*'Premissas Precept'!$B$18</f>
        <v>13997.9</v>
      </c>
      <c r="Q15" s="15" t="n">
        <f aca="false">C15*'Premissas Precept'!$B$19+D15*'Premissas Precept'!$B$20</f>
        <v>1800</v>
      </c>
      <c r="R15" s="23" t="n">
        <f aca="false">SUM(L15:Q15)</f>
        <v>34750.3320927002</v>
      </c>
      <c r="S15" s="15" t="n">
        <f aca="false">'Premissas Precept'!$B$42</f>
        <v>12000</v>
      </c>
      <c r="T15" s="15" t="n">
        <f aca="false">IF(A15&gt;='Premissas Precept'!$B$47,'Premissas Precept'!$B$48*I15,0)</f>
        <v>18234.125</v>
      </c>
      <c r="U15" s="23" t="n">
        <f aca="false">S15+T15</f>
        <v>30234.125</v>
      </c>
      <c r="V15" s="23" t="n">
        <f aca="false">I15-R15-U15</f>
        <v>9440.54290729983</v>
      </c>
      <c r="W15" s="15" t="n">
        <f aca="false">T15/'Premissas Precept'!$B$45</f>
        <v>2604.875</v>
      </c>
      <c r="X15" s="37" t="str">
        <f aca="false">IF(V15&gt;=0,"Sim","Não")</f>
        <v>Sim</v>
      </c>
      <c r="Y15" s="39" t="n">
        <f aca="false">C15*'Premissas Precept'!$B$91+SUMPRODUCT(($A$6:$A$29&gt;A15-'Premissas Precept'!$B$92)*($A$6:$A$29&lt;=A15)*$D$6:$D$29)</f>
        <v>3</v>
      </c>
      <c r="Z15" s="39" t="n">
        <f aca="false">MAX(0,B15-Y15)</f>
        <v>23</v>
      </c>
    </row>
    <row r="16" customFormat="false" ht="15" hidden="false" customHeight="false" outlineLevel="0" collapsed="false">
      <c r="A16" s="35" t="n">
        <v>11</v>
      </c>
      <c r="B16" s="38" t="n">
        <v>29</v>
      </c>
      <c r="C16" s="38" t="n">
        <v>2</v>
      </c>
      <c r="D16" s="38" t="n">
        <v>0</v>
      </c>
      <c r="E16" s="39" t="n">
        <f aca="false">SUMPRODUCT(($A$6:$A$29&gt;A16-'Premissas Precept'!$B$11)*($A$6:$A$29&lt;=A16)*$D$6:$D$29)</f>
        <v>3</v>
      </c>
      <c r="F16" s="15" t="n">
        <f aca="false">Z16*('Premissas Precept'!$B$8+'Premissas Precept'!$B$88*'Premissas Precept'!$B$89)</f>
        <v>38922</v>
      </c>
      <c r="G16" s="15" t="n">
        <f aca="false">C16*'Premissas Precept'!$B$9</f>
        <v>19994</v>
      </c>
      <c r="H16" s="15" t="n">
        <f aca="false">D16*'Premissas Precept'!$B$10</f>
        <v>0</v>
      </c>
      <c r="I16" s="23" t="n">
        <f aca="false">F16+G16+H16</f>
        <v>58916</v>
      </c>
      <c r="J16" s="15" t="n">
        <f aca="false">AVERAGE(I$6:I15)*12</f>
        <v>446474.4</v>
      </c>
      <c r="K16" s="40" t="n">
        <f aca="false">IF(J16&lt;=0,'Premissas Precept'!$C$24,(J16*LOOKUP(J16,'Premissas Precept'!$B$24:$B$29,'Premissas Precept'!$C$24:$C$29)-LOOKUP(J16,'Premissas Precept'!$B$24:$B$29,'Premissas Precept'!$D$24:$D$29))/J16)</f>
        <v>0.172826276265784</v>
      </c>
      <c r="L16" s="15" t="n">
        <f aca="false">I16*K16</f>
        <v>10182.2328924749</v>
      </c>
      <c r="M16" s="15" t="n">
        <f aca="false">B16*('Premissas Precept'!$B$15+'Premissas Precept'!$B$89*'Premissas Precept'!$B$90)</f>
        <v>3132</v>
      </c>
      <c r="N16" s="15" t="n">
        <f aca="false">I16*'Premissas Precept'!$B$16</f>
        <v>1178.32</v>
      </c>
      <c r="O16" s="15" t="n">
        <f aca="false">(G16+H16)*'Premissas Precept'!$B$17</f>
        <v>999.7</v>
      </c>
      <c r="P16" s="15" t="n">
        <f aca="false">(G16+H16)*'Premissas Precept'!$B$18</f>
        <v>6997.9</v>
      </c>
      <c r="Q16" s="15" t="n">
        <f aca="false">C16*'Premissas Precept'!$B$19+D16*'Premissas Precept'!$B$20</f>
        <v>1200</v>
      </c>
      <c r="R16" s="23" t="n">
        <f aca="false">SUM(L16:Q16)</f>
        <v>23690.1528924749</v>
      </c>
      <c r="S16" s="15" t="n">
        <f aca="false">'Premissas Precept'!$B$42</f>
        <v>12000</v>
      </c>
      <c r="T16" s="15" t="n">
        <f aca="false">IF(A16&gt;='Premissas Precept'!$B$47,'Premissas Precept'!$B$48*I16,0)</f>
        <v>14434.42</v>
      </c>
      <c r="U16" s="23" t="n">
        <f aca="false">S16+T16</f>
        <v>26434.42</v>
      </c>
      <c r="V16" s="23" t="n">
        <f aca="false">I16-R16-U16</f>
        <v>8791.42710752508</v>
      </c>
      <c r="W16" s="15" t="n">
        <f aca="false">T16/'Premissas Precept'!$B$45</f>
        <v>2062.06</v>
      </c>
      <c r="X16" s="37" t="str">
        <f aca="false">IF(V16&gt;=0,"Sim","Não")</f>
        <v>Sim</v>
      </c>
      <c r="Y16" s="39" t="n">
        <f aca="false">C16*'Premissas Precept'!$B$91+SUMPRODUCT(($A$6:$A$29&gt;A16-'Premissas Precept'!$B$92)*($A$6:$A$29&lt;=A16)*$D$6:$D$29)</f>
        <v>3</v>
      </c>
      <c r="Z16" s="39" t="n">
        <f aca="false">MAX(0,B16-Y16)</f>
        <v>26</v>
      </c>
    </row>
    <row r="17" customFormat="false" ht="15" hidden="false" customHeight="false" outlineLevel="0" collapsed="false">
      <c r="A17" s="35" t="n">
        <v>12</v>
      </c>
      <c r="B17" s="38" t="n">
        <v>31</v>
      </c>
      <c r="C17" s="38" t="n">
        <v>1</v>
      </c>
      <c r="D17" s="38" t="n">
        <v>1</v>
      </c>
      <c r="E17" s="39" t="n">
        <f aca="false">SUMPRODUCT(($A$6:$A$29&gt;A17-'Premissas Precept'!$B$11)*($A$6:$A$29&lt;=A17)*$D$6:$D$29)</f>
        <v>3</v>
      </c>
      <c r="F17" s="15" t="n">
        <f aca="false">Z17*('Premissas Precept'!$B$8+'Premissas Precept'!$B$88*'Premissas Precept'!$B$89)</f>
        <v>41916</v>
      </c>
      <c r="G17" s="15" t="n">
        <f aca="false">C17*'Premissas Precept'!$B$9</f>
        <v>9997</v>
      </c>
      <c r="H17" s="15" t="n">
        <f aca="false">D17*'Premissas Precept'!$B$10</f>
        <v>29997</v>
      </c>
      <c r="I17" s="23" t="n">
        <f aca="false">F17+G17+H17</f>
        <v>81910</v>
      </c>
      <c r="J17" s="15" t="n">
        <f aca="false">AVERAGE(I$6:I16)*12</f>
        <v>470157.818181818</v>
      </c>
      <c r="K17" s="40" t="n">
        <f aca="false">IF(J17&lt;=0,'Premissas Precept'!$C$24,(J17*LOOKUP(J17,'Premissas Precept'!$B$24:$B$29,'Premissas Precept'!$C$24:$C$29)-LOOKUP(J17,'Premissas Precept'!$B$24:$B$29,'Premissas Precept'!$D$24:$D$29))/J17)</f>
        <v>0.173943240722264</v>
      </c>
      <c r="L17" s="15" t="n">
        <f aca="false">I17*K17</f>
        <v>14247.6908475607</v>
      </c>
      <c r="M17" s="15" t="n">
        <f aca="false">B17*('Premissas Precept'!$B$15+'Premissas Precept'!$B$89*'Premissas Precept'!$B$90)</f>
        <v>3348</v>
      </c>
      <c r="N17" s="15" t="n">
        <f aca="false">I17*'Premissas Precept'!$B$16</f>
        <v>1638.2</v>
      </c>
      <c r="O17" s="15" t="n">
        <f aca="false">(G17+H17)*'Premissas Precept'!$B$17</f>
        <v>1999.7</v>
      </c>
      <c r="P17" s="15" t="n">
        <f aca="false">(G17+H17)*'Premissas Precept'!$B$18</f>
        <v>13997.9</v>
      </c>
      <c r="Q17" s="15" t="n">
        <f aca="false">C17*'Premissas Precept'!$B$19+D17*'Premissas Precept'!$B$20</f>
        <v>1800</v>
      </c>
      <c r="R17" s="23" t="n">
        <f aca="false">SUM(L17:Q17)</f>
        <v>37031.4908475607</v>
      </c>
      <c r="S17" s="15" t="n">
        <f aca="false">'Premissas Precept'!$B$42</f>
        <v>12000</v>
      </c>
      <c r="T17" s="15" t="n">
        <f aca="false">IF(A17&gt;='Premissas Precept'!$B$47,'Premissas Precept'!$B$48*I17,0)</f>
        <v>20067.95</v>
      </c>
      <c r="U17" s="23" t="n">
        <f aca="false">S17+T17</f>
        <v>32067.95</v>
      </c>
      <c r="V17" s="23" t="n">
        <f aca="false">I17-R17-U17</f>
        <v>12810.5591524393</v>
      </c>
      <c r="W17" s="15" t="n">
        <f aca="false">T17/'Premissas Precept'!$B$45</f>
        <v>2866.85</v>
      </c>
      <c r="X17" s="37" t="str">
        <f aca="false">IF(V17&gt;=0,"Sim","Não")</f>
        <v>Sim</v>
      </c>
      <c r="Y17" s="39" t="n">
        <f aca="false">C17*'Premissas Precept'!$B$91+SUMPRODUCT(($A$6:$A$29&gt;A17-'Premissas Precept'!$B$92)*($A$6:$A$29&lt;=A17)*$D$6:$D$29)</f>
        <v>3</v>
      </c>
      <c r="Z17" s="39" t="n">
        <f aca="false">MAX(0,B17-Y17)</f>
        <v>28</v>
      </c>
    </row>
    <row r="18" customFormat="false" ht="15" hidden="false" customHeight="false" outlineLevel="0" collapsed="false">
      <c r="A18" s="35" t="n">
        <v>13</v>
      </c>
      <c r="B18" s="38" t="n">
        <v>36</v>
      </c>
      <c r="C18" s="38" t="n">
        <v>4</v>
      </c>
      <c r="D18" s="38" t="n">
        <v>1</v>
      </c>
      <c r="E18" s="39" t="n">
        <f aca="false">SUMPRODUCT(($A$6:$A$29&gt;A18-'Premissas Precept'!$B$11)*($A$6:$A$29&lt;=A18)*$D$6:$D$29)</f>
        <v>4</v>
      </c>
      <c r="F18" s="15" t="n">
        <f aca="false">Z18*('Premissas Precept'!$B$8+'Premissas Precept'!$B$88*'Premissas Precept'!$B$89)</f>
        <v>44910</v>
      </c>
      <c r="G18" s="15" t="n">
        <f aca="false">C18*'Premissas Precept'!$B$9</f>
        <v>39988</v>
      </c>
      <c r="H18" s="15" t="n">
        <f aca="false">D18*'Premissas Precept'!$B$10</f>
        <v>29997</v>
      </c>
      <c r="I18" s="23" t="n">
        <f aca="false">F18+G18+H18</f>
        <v>114895</v>
      </c>
      <c r="J18" s="15" t="n">
        <f aca="false">SUM(I6:I17)</f>
        <v>512888</v>
      </c>
      <c r="K18" s="40" t="n">
        <f aca="false">IF(J18&lt;=0,'Premissas Precept'!$C$24,(J18*LOOKUP(J18,'Premissas Precept'!$B$24:$B$29,'Premissas Precept'!$C$24:$C$29)-LOOKUP(J18,'Premissas Precept'!$B$24:$B$29,'Premissas Precept'!$D$24:$D$29))/J18)</f>
        <v>0.175697540203709</v>
      </c>
      <c r="L18" s="15" t="n">
        <f aca="false">I18*K18</f>
        <v>20186.7688817052</v>
      </c>
      <c r="M18" s="15" t="n">
        <f aca="false">B18*('Premissas Precept'!$B$15+'Premissas Precept'!$B$89*'Premissas Precept'!$B$90)</f>
        <v>3888</v>
      </c>
      <c r="N18" s="15" t="n">
        <f aca="false">I18*'Premissas Precept'!$B$16</f>
        <v>2297.9</v>
      </c>
      <c r="O18" s="15" t="n">
        <f aca="false">(G18+H18)*'Premissas Precept'!$B$17</f>
        <v>3499.25</v>
      </c>
      <c r="P18" s="15" t="n">
        <f aca="false">(G18+H18)*'Premissas Precept'!$B$18</f>
        <v>24494.75</v>
      </c>
      <c r="Q18" s="15" t="n">
        <f aca="false">C18*'Premissas Precept'!$B$19+D18*'Premissas Precept'!$B$20</f>
        <v>3600</v>
      </c>
      <c r="R18" s="23" t="n">
        <f aca="false">SUM(L18:Q18)</f>
        <v>57966.6688817052</v>
      </c>
      <c r="S18" s="15" t="n">
        <f aca="false">'Premissas Precept'!$B$42</f>
        <v>12000</v>
      </c>
      <c r="T18" s="15" t="n">
        <f aca="false">IF(A18&gt;='Premissas Precept'!$B$47,'Premissas Precept'!$B$48*I18,0)</f>
        <v>28149.275</v>
      </c>
      <c r="U18" s="23" t="n">
        <f aca="false">S18+T18</f>
        <v>40149.275</v>
      </c>
      <c r="V18" s="23" t="n">
        <f aca="false">I18-R18-U18</f>
        <v>16779.0561182948</v>
      </c>
      <c r="W18" s="15" t="n">
        <f aca="false">T18/'Premissas Precept'!$B$45</f>
        <v>4021.325</v>
      </c>
      <c r="X18" s="37" t="str">
        <f aca="false">IF(V18&gt;=0,"Sim","Não")</f>
        <v>Sim</v>
      </c>
      <c r="Y18" s="39" t="n">
        <f aca="false">C18*'Premissas Precept'!$B$91+SUMPRODUCT(($A$6:$A$29&gt;A18-'Premissas Precept'!$B$92)*($A$6:$A$29&lt;=A18)*$D$6:$D$29)</f>
        <v>6</v>
      </c>
      <c r="Z18" s="39" t="n">
        <f aca="false">MAX(0,B18-Y18)</f>
        <v>30</v>
      </c>
    </row>
    <row r="19" customFormat="false" ht="15" hidden="false" customHeight="false" outlineLevel="0" collapsed="false">
      <c r="A19" s="35" t="n">
        <v>14</v>
      </c>
      <c r="B19" s="38" t="n">
        <v>40</v>
      </c>
      <c r="C19" s="38" t="n">
        <v>4</v>
      </c>
      <c r="D19" s="38" t="n">
        <v>1</v>
      </c>
      <c r="E19" s="39" t="n">
        <f aca="false">SUMPRODUCT(($A$6:$A$29&gt;A19-'Premissas Precept'!$B$11)*($A$6:$A$29&lt;=A19)*$D$6:$D$29)</f>
        <v>4</v>
      </c>
      <c r="F19" s="15" t="n">
        <f aca="false">Z19*('Premissas Precept'!$B$8+'Premissas Precept'!$B$88*'Premissas Precept'!$B$89)</f>
        <v>49401</v>
      </c>
      <c r="G19" s="15" t="n">
        <f aca="false">C19*'Premissas Precept'!$B$9</f>
        <v>39988</v>
      </c>
      <c r="H19" s="15" t="n">
        <f aca="false">D19*'Premissas Precept'!$B$10</f>
        <v>29997</v>
      </c>
      <c r="I19" s="23" t="n">
        <f aca="false">F19+G19+H19</f>
        <v>119386</v>
      </c>
      <c r="J19" s="15" t="n">
        <f aca="false">SUM(I7:I18)</f>
        <v>621795</v>
      </c>
      <c r="K19" s="40" t="n">
        <f aca="false">IF(J19&lt;=0,'Premissas Precept'!$C$24,(J19*LOOKUP(J19,'Premissas Precept'!$B$24:$B$29,'Premissas Precept'!$C$24:$C$29)-LOOKUP(J19,'Premissas Precept'!$B$24:$B$29,'Premissas Precept'!$D$24:$D$29))/J19)</f>
        <v>0.179078353798278</v>
      </c>
      <c r="L19" s="15" t="n">
        <f aca="false">I19*K19</f>
        <v>21379.4483465612</v>
      </c>
      <c r="M19" s="15" t="n">
        <f aca="false">B19*('Premissas Precept'!$B$15+'Premissas Precept'!$B$89*'Premissas Precept'!$B$90)</f>
        <v>4320</v>
      </c>
      <c r="N19" s="15" t="n">
        <f aca="false">I19*'Premissas Precept'!$B$16</f>
        <v>2387.72</v>
      </c>
      <c r="O19" s="15" t="n">
        <f aca="false">(G19+H19)*'Premissas Precept'!$B$17</f>
        <v>3499.25</v>
      </c>
      <c r="P19" s="15" t="n">
        <f aca="false">(G19+H19)*'Premissas Precept'!$B$18</f>
        <v>24494.75</v>
      </c>
      <c r="Q19" s="15" t="n">
        <f aca="false">C19*'Premissas Precept'!$B$19+D19*'Premissas Precept'!$B$20</f>
        <v>3600</v>
      </c>
      <c r="R19" s="23" t="n">
        <f aca="false">SUM(L19:Q19)</f>
        <v>59681.1683465612</v>
      </c>
      <c r="S19" s="15" t="n">
        <f aca="false">'Premissas Precept'!$B$42</f>
        <v>12000</v>
      </c>
      <c r="T19" s="15" t="n">
        <f aca="false">IF(A19&gt;='Premissas Precept'!$B$47,'Premissas Precept'!$B$48*I19,0)</f>
        <v>29249.57</v>
      </c>
      <c r="U19" s="23" t="n">
        <f aca="false">S19+T19</f>
        <v>41249.57</v>
      </c>
      <c r="V19" s="23" t="n">
        <f aca="false">I19-R19-U19</f>
        <v>18455.2616534388</v>
      </c>
      <c r="W19" s="15" t="n">
        <f aca="false">T19/'Premissas Precept'!$B$45</f>
        <v>4178.51</v>
      </c>
      <c r="X19" s="37" t="str">
        <f aca="false">IF(V19&gt;=0,"Sim","Não")</f>
        <v>Sim</v>
      </c>
      <c r="Y19" s="39" t="n">
        <f aca="false">C19*'Premissas Precept'!$B$91+SUMPRODUCT(($A$6:$A$29&gt;A19-'Premissas Precept'!$B$92)*($A$6:$A$29&lt;=A19)*$D$6:$D$29)</f>
        <v>7</v>
      </c>
      <c r="Z19" s="39" t="n">
        <f aca="false">MAX(0,B19-Y19)</f>
        <v>33</v>
      </c>
    </row>
    <row r="20" customFormat="false" ht="15" hidden="false" customHeight="false" outlineLevel="0" collapsed="false">
      <c r="A20" s="35" t="n">
        <v>15</v>
      </c>
      <c r="B20" s="38" t="n">
        <v>44</v>
      </c>
      <c r="C20" s="38" t="n">
        <v>4</v>
      </c>
      <c r="D20" s="38" t="n">
        <v>1</v>
      </c>
      <c r="E20" s="39" t="n">
        <f aca="false">SUMPRODUCT(($A$6:$A$29&gt;A20-'Premissas Precept'!$B$11)*($A$6:$A$29&lt;=A20)*$D$6:$D$29)</f>
        <v>5</v>
      </c>
      <c r="F20" s="15" t="n">
        <f aca="false">Z20*('Premissas Precept'!$B$8+'Premissas Precept'!$B$88*'Premissas Precept'!$B$89)</f>
        <v>55389</v>
      </c>
      <c r="G20" s="15" t="n">
        <f aca="false">C20*'Premissas Precept'!$B$9</f>
        <v>39988</v>
      </c>
      <c r="H20" s="15" t="n">
        <f aca="false">D20*'Premissas Precept'!$B$10</f>
        <v>29997</v>
      </c>
      <c r="I20" s="23" t="n">
        <f aca="false">F20+G20+H20</f>
        <v>125374</v>
      </c>
      <c r="J20" s="15" t="n">
        <f aca="false">SUM(I8:I19)</f>
        <v>732199</v>
      </c>
      <c r="K20" s="40" t="n">
        <f aca="false">IF(J20&lt;=0,'Premissas Precept'!$C$24,(J20*LOOKUP(J20,'Premissas Precept'!$B$24:$B$29,'Premissas Precept'!$C$24:$C$29)-LOOKUP(J20,'Premissas Precept'!$B$24:$B$29,'Premissas Precept'!$D$24:$D$29))/J20)</f>
        <v>0.181645693315615</v>
      </c>
      <c r="L20" s="15" t="n">
        <f aca="false">I20*K20</f>
        <v>22773.6471537519</v>
      </c>
      <c r="M20" s="15" t="n">
        <f aca="false">B20*('Premissas Precept'!$B$15+'Premissas Precept'!$B$89*'Premissas Precept'!$B$90)</f>
        <v>4752</v>
      </c>
      <c r="N20" s="15" t="n">
        <f aca="false">I20*'Premissas Precept'!$B$16</f>
        <v>2507.48</v>
      </c>
      <c r="O20" s="15" t="n">
        <f aca="false">(G20+H20)*'Premissas Precept'!$B$17</f>
        <v>3499.25</v>
      </c>
      <c r="P20" s="15" t="n">
        <f aca="false">(G20+H20)*'Premissas Precept'!$B$18</f>
        <v>24494.75</v>
      </c>
      <c r="Q20" s="15" t="n">
        <f aca="false">C20*'Premissas Precept'!$B$19+D20*'Premissas Precept'!$B$20</f>
        <v>3600</v>
      </c>
      <c r="R20" s="23" t="n">
        <f aca="false">SUM(L20:Q20)</f>
        <v>61627.1271537519</v>
      </c>
      <c r="S20" s="15" t="n">
        <f aca="false">'Premissas Precept'!$B$42</f>
        <v>12000</v>
      </c>
      <c r="T20" s="15" t="n">
        <f aca="false">IF(A20&gt;='Premissas Precept'!$B$47,'Premissas Precept'!$B$48*I20,0)</f>
        <v>30716.63</v>
      </c>
      <c r="U20" s="23" t="n">
        <f aca="false">S20+T20</f>
        <v>42716.63</v>
      </c>
      <c r="V20" s="23" t="n">
        <f aca="false">I20-R20-U20</f>
        <v>21030.2428462481</v>
      </c>
      <c r="W20" s="15" t="n">
        <f aca="false">T20/'Premissas Precept'!$B$45</f>
        <v>4388.09</v>
      </c>
      <c r="X20" s="37" t="str">
        <f aca="false">IF(V20&gt;=0,"Sim","Não")</f>
        <v>Sim</v>
      </c>
      <c r="Y20" s="39" t="n">
        <f aca="false">C20*'Premissas Precept'!$B$91+SUMPRODUCT(($A$6:$A$29&gt;A20-'Premissas Precept'!$B$92)*($A$6:$A$29&lt;=A20)*$D$6:$D$29)</f>
        <v>7</v>
      </c>
      <c r="Z20" s="39" t="n">
        <f aca="false">MAX(0,B20-Y20)</f>
        <v>37</v>
      </c>
    </row>
    <row r="21" customFormat="false" ht="15" hidden="false" customHeight="false" outlineLevel="0" collapsed="false">
      <c r="A21" s="35" t="n">
        <v>16</v>
      </c>
      <c r="B21" s="38" t="n">
        <v>48</v>
      </c>
      <c r="C21" s="38" t="n">
        <v>4</v>
      </c>
      <c r="D21" s="38" t="n">
        <v>1</v>
      </c>
      <c r="E21" s="39" t="n">
        <f aca="false">SUMPRODUCT(($A$6:$A$29&gt;A21-'Premissas Precept'!$B$11)*($A$6:$A$29&lt;=A21)*$D$6:$D$29)</f>
        <v>5</v>
      </c>
      <c r="F21" s="15" t="n">
        <f aca="false">Z21*('Premissas Precept'!$B$8+'Premissas Precept'!$B$88*'Premissas Precept'!$B$89)</f>
        <v>61377</v>
      </c>
      <c r="G21" s="15" t="n">
        <f aca="false">C21*'Premissas Precept'!$B$9</f>
        <v>39988</v>
      </c>
      <c r="H21" s="15" t="n">
        <f aca="false">D21*'Premissas Precept'!$B$10</f>
        <v>29997</v>
      </c>
      <c r="I21" s="23" t="n">
        <f aca="false">F21+G21+H21</f>
        <v>131362</v>
      </c>
      <c r="J21" s="15" t="n">
        <f aca="false">SUM(I9:I20)</f>
        <v>844100</v>
      </c>
      <c r="K21" s="40" t="n">
        <f aca="false">IF(J21&lt;=0,'Premissas Precept'!$C$24,(J21*LOOKUP(J21,'Premissas Precept'!$B$24:$B$29,'Premissas Precept'!$C$24:$C$29)-LOOKUP(J21,'Premissas Precept'!$B$24:$B$29,'Premissas Precept'!$D$24:$D$29))/J21)</f>
        <v>0.184741736761047</v>
      </c>
      <c r="L21" s="15" t="n">
        <f aca="false">I21*K21</f>
        <v>24268.0440244047</v>
      </c>
      <c r="M21" s="15" t="n">
        <f aca="false">B21*('Premissas Precept'!$B$15+'Premissas Precept'!$B$89*'Premissas Precept'!$B$90)</f>
        <v>5184</v>
      </c>
      <c r="N21" s="15" t="n">
        <f aca="false">I21*'Premissas Precept'!$B$16</f>
        <v>2627.24</v>
      </c>
      <c r="O21" s="15" t="n">
        <f aca="false">(G21+H21)*'Premissas Precept'!$B$17</f>
        <v>3499.25</v>
      </c>
      <c r="P21" s="15" t="n">
        <f aca="false">(G21+H21)*'Premissas Precept'!$B$18</f>
        <v>24494.75</v>
      </c>
      <c r="Q21" s="15" t="n">
        <f aca="false">C21*'Premissas Precept'!$B$19+D21*'Premissas Precept'!$B$20</f>
        <v>3600</v>
      </c>
      <c r="R21" s="23" t="n">
        <f aca="false">SUM(L21:Q21)</f>
        <v>63673.2840244047</v>
      </c>
      <c r="S21" s="15" t="n">
        <f aca="false">'Premissas Precept'!$B$42</f>
        <v>12000</v>
      </c>
      <c r="T21" s="15" t="n">
        <f aca="false">IF(A21&gt;='Premissas Precept'!$B$47,'Premissas Precept'!$B$48*I21,0)</f>
        <v>32183.69</v>
      </c>
      <c r="U21" s="23" t="n">
        <f aca="false">S21+T21</f>
        <v>44183.69</v>
      </c>
      <c r="V21" s="23" t="n">
        <f aca="false">I21-R21-U21</f>
        <v>23505.0259755953</v>
      </c>
      <c r="W21" s="15" t="n">
        <f aca="false">T21/'Premissas Precept'!$B$45</f>
        <v>4597.67</v>
      </c>
      <c r="X21" s="37" t="str">
        <f aca="false">IF(V21&gt;=0,"Sim","Não")</f>
        <v>Sim</v>
      </c>
      <c r="Y21" s="39" t="n">
        <f aca="false">C21*'Premissas Precept'!$B$91+SUMPRODUCT(($A$6:$A$29&gt;A21-'Premissas Precept'!$B$92)*($A$6:$A$29&lt;=A21)*$D$6:$D$29)</f>
        <v>7</v>
      </c>
      <c r="Z21" s="39" t="n">
        <f aca="false">MAX(0,B21-Y21)</f>
        <v>41</v>
      </c>
    </row>
    <row r="22" customFormat="false" ht="15" hidden="false" customHeight="false" outlineLevel="0" collapsed="false">
      <c r="A22" s="35" t="n">
        <v>17</v>
      </c>
      <c r="B22" s="38" t="n">
        <v>51</v>
      </c>
      <c r="C22" s="38" t="n">
        <v>4</v>
      </c>
      <c r="D22" s="38" t="n">
        <v>1</v>
      </c>
      <c r="E22" s="39" t="n">
        <f aca="false">SUMPRODUCT(($A$6:$A$29&gt;A22-'Premissas Precept'!$B$11)*($A$6:$A$29&lt;=A22)*$D$6:$D$29)</f>
        <v>6</v>
      </c>
      <c r="F22" s="15" t="n">
        <f aca="false">Z22*('Premissas Precept'!$B$8+'Premissas Precept'!$B$88*'Premissas Precept'!$B$89)</f>
        <v>65868</v>
      </c>
      <c r="G22" s="15" t="n">
        <f aca="false">C22*'Premissas Precept'!$B$9</f>
        <v>39988</v>
      </c>
      <c r="H22" s="15" t="n">
        <f aca="false">D22*'Premissas Precept'!$B$10</f>
        <v>29997</v>
      </c>
      <c r="I22" s="23" t="n">
        <f aca="false">F22+G22+H22</f>
        <v>135853</v>
      </c>
      <c r="J22" s="15" t="n">
        <f aca="false">SUM(I10:I21)</f>
        <v>950495</v>
      </c>
      <c r="K22" s="40" t="n">
        <f aca="false">IF(J22&lt;=0,'Premissas Precept'!$C$24,(J22*LOOKUP(J22,'Premissas Precept'!$B$24:$B$29,'Premissas Precept'!$C$24:$C$29)-LOOKUP(J22,'Premissas Precept'!$B$24:$B$29,'Premissas Precept'!$D$24:$D$29))/J22)</f>
        <v>0.187009374062988</v>
      </c>
      <c r="L22" s="15" t="n">
        <f aca="false">I22*K22</f>
        <v>25405.7844945791</v>
      </c>
      <c r="M22" s="15" t="n">
        <f aca="false">B22*('Premissas Precept'!$B$15+'Premissas Precept'!$B$89*'Premissas Precept'!$B$90)</f>
        <v>5508</v>
      </c>
      <c r="N22" s="15" t="n">
        <f aca="false">I22*'Premissas Precept'!$B$16</f>
        <v>2717.06</v>
      </c>
      <c r="O22" s="15" t="n">
        <f aca="false">(G22+H22)*'Premissas Precept'!$B$17</f>
        <v>3499.25</v>
      </c>
      <c r="P22" s="15" t="n">
        <f aca="false">(G22+H22)*'Premissas Precept'!$B$18</f>
        <v>24494.75</v>
      </c>
      <c r="Q22" s="15" t="n">
        <f aca="false">C22*'Premissas Precept'!$B$19+D22*'Premissas Precept'!$B$20</f>
        <v>3600</v>
      </c>
      <c r="R22" s="23" t="n">
        <f aca="false">SUM(L22:Q22)</f>
        <v>65224.8444945791</v>
      </c>
      <c r="S22" s="15" t="n">
        <f aca="false">'Premissas Precept'!$B$42</f>
        <v>12000</v>
      </c>
      <c r="T22" s="15" t="n">
        <f aca="false">IF(A22&gt;='Premissas Precept'!$B$47,'Premissas Precept'!$B$48*I22,0)</f>
        <v>33283.985</v>
      </c>
      <c r="U22" s="23" t="n">
        <f aca="false">S22+T22</f>
        <v>45283.985</v>
      </c>
      <c r="V22" s="23" t="n">
        <f aca="false">I22-R22-U22</f>
        <v>25344.1705054209</v>
      </c>
      <c r="W22" s="15" t="n">
        <f aca="false">T22/'Premissas Precept'!$B$45</f>
        <v>4754.855</v>
      </c>
      <c r="X22" s="37" t="str">
        <f aca="false">IF(V22&gt;=0,"Sim","Não")</f>
        <v>Sim</v>
      </c>
      <c r="Y22" s="39" t="n">
        <f aca="false">C22*'Premissas Precept'!$B$91+SUMPRODUCT(($A$6:$A$29&gt;A22-'Premissas Precept'!$B$92)*($A$6:$A$29&lt;=A22)*$D$6:$D$29)</f>
        <v>7</v>
      </c>
      <c r="Z22" s="39" t="n">
        <f aca="false">MAX(0,B22-Y22)</f>
        <v>44</v>
      </c>
    </row>
    <row r="23" customFormat="false" ht="15" hidden="false" customHeight="false" outlineLevel="0" collapsed="false">
      <c r="A23" s="35" t="n">
        <v>18</v>
      </c>
      <c r="B23" s="38" t="n">
        <v>55</v>
      </c>
      <c r="C23" s="38" t="n">
        <v>4</v>
      </c>
      <c r="D23" s="38" t="n">
        <v>1</v>
      </c>
      <c r="E23" s="39" t="n">
        <f aca="false">SUMPRODUCT(($A$6:$A$29&gt;A23-'Premissas Precept'!$B$11)*($A$6:$A$29&lt;=A23)*$D$6:$D$29)</f>
        <v>6</v>
      </c>
      <c r="F23" s="15" t="n">
        <f aca="false">Z23*('Premissas Precept'!$B$8+'Premissas Precept'!$B$88*'Premissas Precept'!$B$89)</f>
        <v>71856</v>
      </c>
      <c r="G23" s="15" t="n">
        <f aca="false">C23*'Premissas Precept'!$B$9</f>
        <v>39988</v>
      </c>
      <c r="H23" s="15" t="n">
        <f aca="false">D23*'Premissas Precept'!$B$10</f>
        <v>29997</v>
      </c>
      <c r="I23" s="23" t="n">
        <f aca="false">F23+G23+H23</f>
        <v>141841</v>
      </c>
      <c r="J23" s="15" t="n">
        <f aca="false">SUM(I11:I22)</f>
        <v>1056890</v>
      </c>
      <c r="K23" s="40" t="n">
        <f aca="false">IF(J23&lt;=0,'Premissas Precept'!$C$24,(J23*LOOKUP(J23,'Premissas Precept'!$B$24:$B$29,'Premissas Precept'!$C$24:$C$29)-LOOKUP(J23,'Premissas Precept'!$B$24:$B$29,'Premissas Precept'!$D$24:$D$29))/J23)</f>
        <v>0.188820454351919</v>
      </c>
      <c r="L23" s="15" t="n">
        <f aca="false">I23*K23</f>
        <v>26782.4820657306</v>
      </c>
      <c r="M23" s="15" t="n">
        <f aca="false">B23*('Premissas Precept'!$B$15+'Premissas Precept'!$B$89*'Premissas Precept'!$B$90)</f>
        <v>5940</v>
      </c>
      <c r="N23" s="15" t="n">
        <f aca="false">I23*'Premissas Precept'!$B$16</f>
        <v>2836.82</v>
      </c>
      <c r="O23" s="15" t="n">
        <f aca="false">(G23+H23)*'Premissas Precept'!$B$17</f>
        <v>3499.25</v>
      </c>
      <c r="P23" s="15" t="n">
        <f aca="false">(G23+H23)*'Premissas Precept'!$B$18</f>
        <v>24494.75</v>
      </c>
      <c r="Q23" s="15" t="n">
        <f aca="false">C23*'Premissas Precept'!$B$19+D23*'Premissas Precept'!$B$20</f>
        <v>3600</v>
      </c>
      <c r="R23" s="23" t="n">
        <f aca="false">SUM(L23:Q23)</f>
        <v>67153.3020657306</v>
      </c>
      <c r="S23" s="15" t="n">
        <f aca="false">'Premissas Precept'!$B$42</f>
        <v>12000</v>
      </c>
      <c r="T23" s="15" t="n">
        <f aca="false">IF(A23&gt;='Premissas Precept'!$B$47,'Premissas Precept'!$B$48*I23,0)</f>
        <v>34751.045</v>
      </c>
      <c r="U23" s="23" t="n">
        <f aca="false">S23+T23</f>
        <v>46751.045</v>
      </c>
      <c r="V23" s="23" t="n">
        <f aca="false">I23-R23-U23</f>
        <v>27936.6529342694</v>
      </c>
      <c r="W23" s="15" t="n">
        <f aca="false">T23/'Premissas Precept'!$B$45</f>
        <v>4964.435</v>
      </c>
      <c r="X23" s="37" t="str">
        <f aca="false">IF(V23&gt;=0,"Sim","Não")</f>
        <v>Sim</v>
      </c>
      <c r="Y23" s="39" t="n">
        <f aca="false">C23*'Premissas Precept'!$B$91+SUMPRODUCT(($A$6:$A$29&gt;A23-'Premissas Precept'!$B$92)*($A$6:$A$29&lt;=A23)*$D$6:$D$29)</f>
        <v>7</v>
      </c>
      <c r="Z23" s="39" t="n">
        <f aca="false">MAX(0,B23-Y23)</f>
        <v>48</v>
      </c>
    </row>
    <row r="24" customFormat="false" ht="15" hidden="false" customHeight="false" outlineLevel="0" collapsed="false">
      <c r="A24" s="35" t="n">
        <v>19</v>
      </c>
      <c r="B24" s="38" t="n">
        <v>60</v>
      </c>
      <c r="C24" s="38" t="n">
        <v>5</v>
      </c>
      <c r="D24" s="38" t="n">
        <v>1</v>
      </c>
      <c r="E24" s="39" t="n">
        <f aca="false">SUMPRODUCT(($A$6:$A$29&gt;A24-'Premissas Precept'!$B$11)*($A$6:$A$29&lt;=A24)*$D$6:$D$29)</f>
        <v>6</v>
      </c>
      <c r="F24" s="15" t="n">
        <f aca="false">Z24*('Premissas Precept'!$B$8+'Premissas Precept'!$B$88*'Premissas Precept'!$B$89)</f>
        <v>77844</v>
      </c>
      <c r="G24" s="15" t="n">
        <f aca="false">C24*'Premissas Precept'!$B$9</f>
        <v>49985</v>
      </c>
      <c r="H24" s="15" t="n">
        <f aca="false">D24*'Premissas Precept'!$B$10</f>
        <v>29997</v>
      </c>
      <c r="I24" s="23" t="n">
        <f aca="false">F24+G24+H24</f>
        <v>157826</v>
      </c>
      <c r="J24" s="15" t="n">
        <f aca="false">SUM(I12:I23)</f>
        <v>1137779</v>
      </c>
      <c r="K24" s="40" t="n">
        <f aca="false">IF(J24&lt;=0,'Premissas Precept'!$C$24,(J24*LOOKUP(J24,'Premissas Precept'!$B$24:$B$29,'Premissas Precept'!$C$24:$C$29)-LOOKUP(J24,'Premissas Precept'!$B$24:$B$29,'Premissas Precept'!$D$24:$D$29))/J24)</f>
        <v>0.189970719269735</v>
      </c>
      <c r="L24" s="15" t="n">
        <f aca="false">I24*K24</f>
        <v>29982.3187394652</v>
      </c>
      <c r="M24" s="15" t="n">
        <f aca="false">B24*('Premissas Precept'!$B$15+'Premissas Precept'!$B$89*'Premissas Precept'!$B$90)</f>
        <v>6480</v>
      </c>
      <c r="N24" s="15" t="n">
        <f aca="false">I24*'Premissas Precept'!$B$16</f>
        <v>3156.52</v>
      </c>
      <c r="O24" s="15" t="n">
        <f aca="false">(G24+H24)*'Premissas Precept'!$B$17</f>
        <v>3999.1</v>
      </c>
      <c r="P24" s="15" t="n">
        <f aca="false">(G24+H24)*'Premissas Precept'!$B$18</f>
        <v>27993.7</v>
      </c>
      <c r="Q24" s="15" t="n">
        <f aca="false">C24*'Premissas Precept'!$B$19+D24*'Premissas Precept'!$B$20</f>
        <v>4200</v>
      </c>
      <c r="R24" s="23" t="n">
        <f aca="false">SUM(L24:Q24)</f>
        <v>75811.6387394652</v>
      </c>
      <c r="S24" s="15" t="n">
        <f aca="false">'Premissas Precept'!$B$42</f>
        <v>12000</v>
      </c>
      <c r="T24" s="15" t="n">
        <f aca="false">IF(A24&gt;='Premissas Precept'!$B$47,'Premissas Precept'!$B$48*I24,0)</f>
        <v>38667.37</v>
      </c>
      <c r="U24" s="23" t="n">
        <f aca="false">S24+T24</f>
        <v>50667.37</v>
      </c>
      <c r="V24" s="23" t="n">
        <f aca="false">I24-R24-U24</f>
        <v>31346.9912605348</v>
      </c>
      <c r="W24" s="15" t="n">
        <f aca="false">T24/'Premissas Precept'!$B$45</f>
        <v>5523.91</v>
      </c>
      <c r="X24" s="37" t="str">
        <f aca="false">IF(V24&gt;=0,"Sim","Não")</f>
        <v>Sim</v>
      </c>
      <c r="Y24" s="39" t="n">
        <f aca="false">C24*'Premissas Precept'!$B$91+SUMPRODUCT(($A$6:$A$29&gt;A24-'Premissas Precept'!$B$92)*($A$6:$A$29&lt;=A24)*$D$6:$D$29)</f>
        <v>8</v>
      </c>
      <c r="Z24" s="39" t="n">
        <f aca="false">MAX(0,B24-Y24)</f>
        <v>52</v>
      </c>
    </row>
    <row r="25" customFormat="false" ht="15" hidden="false" customHeight="false" outlineLevel="0" collapsed="false">
      <c r="A25" s="35" t="n">
        <v>20</v>
      </c>
      <c r="B25" s="38" t="n">
        <v>64</v>
      </c>
      <c r="C25" s="38" t="n">
        <v>5</v>
      </c>
      <c r="D25" s="38" t="n">
        <v>1</v>
      </c>
      <c r="E25" s="39" t="n">
        <f aca="false">SUMPRODUCT(($A$6:$A$29&gt;A25-'Premissas Precept'!$B$11)*($A$6:$A$29&lt;=A25)*$D$6:$D$29)</f>
        <v>6</v>
      </c>
      <c r="F25" s="15" t="n">
        <f aca="false">Z25*('Premissas Precept'!$B$8+'Premissas Precept'!$B$88*'Premissas Precept'!$B$89)</f>
        <v>83832</v>
      </c>
      <c r="G25" s="15" t="n">
        <f aca="false">C25*'Premissas Precept'!$B$9</f>
        <v>49985</v>
      </c>
      <c r="H25" s="15" t="n">
        <f aca="false">D25*'Premissas Precept'!$B$10</f>
        <v>29997</v>
      </c>
      <c r="I25" s="23" t="n">
        <f aca="false">F25+G25+H25</f>
        <v>163814</v>
      </c>
      <c r="J25" s="15" t="n">
        <f aca="false">SUM(I13:I24)</f>
        <v>1260159</v>
      </c>
      <c r="K25" s="40" t="n">
        <f aca="false">IF(J25&lt;=0,'Premissas Precept'!$C$24,(J25*LOOKUP(J25,'Premissas Precept'!$B$24:$B$29,'Premissas Precept'!$C$24:$C$29)-LOOKUP(J25,'Premissas Precept'!$B$24:$B$29,'Premissas Precept'!$D$24:$D$29))/J25)</f>
        <v>0.191430283797521</v>
      </c>
      <c r="L25" s="15" t="n">
        <f aca="false">I25*K25</f>
        <v>31358.9605100071</v>
      </c>
      <c r="M25" s="15" t="n">
        <f aca="false">B25*('Premissas Precept'!$B$15+'Premissas Precept'!$B$89*'Premissas Precept'!$B$90)</f>
        <v>6912</v>
      </c>
      <c r="N25" s="15" t="n">
        <f aca="false">I25*'Premissas Precept'!$B$16</f>
        <v>3276.28</v>
      </c>
      <c r="O25" s="15" t="n">
        <f aca="false">(G25+H25)*'Premissas Precept'!$B$17</f>
        <v>3999.1</v>
      </c>
      <c r="P25" s="15" t="n">
        <f aca="false">(G25+H25)*'Premissas Precept'!$B$18</f>
        <v>27993.7</v>
      </c>
      <c r="Q25" s="15" t="n">
        <f aca="false">C25*'Premissas Precept'!$B$19+D25*'Premissas Precept'!$B$20</f>
        <v>4200</v>
      </c>
      <c r="R25" s="23" t="n">
        <f aca="false">SUM(L25:Q25)</f>
        <v>77740.0405100071</v>
      </c>
      <c r="S25" s="15" t="n">
        <f aca="false">'Premissas Precept'!$B$42</f>
        <v>12000</v>
      </c>
      <c r="T25" s="15" t="n">
        <f aca="false">IF(A25&gt;='Premissas Precept'!$B$47,'Premissas Precept'!$B$48*I25,0)</f>
        <v>40134.43</v>
      </c>
      <c r="U25" s="23" t="n">
        <f aca="false">S25+T25</f>
        <v>52134.43</v>
      </c>
      <c r="V25" s="23" t="n">
        <f aca="false">I25-R25-U25</f>
        <v>33939.5294899929</v>
      </c>
      <c r="W25" s="15" t="n">
        <f aca="false">T25/'Premissas Precept'!$B$45</f>
        <v>5733.49</v>
      </c>
      <c r="X25" s="37" t="str">
        <f aca="false">IF(V25&gt;=0,"Sim","Não")</f>
        <v>Sim</v>
      </c>
      <c r="Y25" s="39" t="n">
        <f aca="false">C25*'Premissas Precept'!$B$91+SUMPRODUCT(($A$6:$A$29&gt;A25-'Premissas Precept'!$B$92)*($A$6:$A$29&lt;=A25)*$D$6:$D$29)</f>
        <v>8</v>
      </c>
      <c r="Z25" s="39" t="n">
        <f aca="false">MAX(0,B25-Y25)</f>
        <v>56</v>
      </c>
    </row>
    <row r="26" customFormat="false" ht="15" hidden="false" customHeight="false" outlineLevel="0" collapsed="false">
      <c r="A26" s="35" t="n">
        <v>21</v>
      </c>
      <c r="B26" s="38" t="n">
        <v>68</v>
      </c>
      <c r="C26" s="38" t="n">
        <v>5</v>
      </c>
      <c r="D26" s="38" t="n">
        <v>1</v>
      </c>
      <c r="E26" s="39" t="n">
        <f aca="false">SUMPRODUCT(($A$6:$A$29&gt;A26-'Premissas Precept'!$B$11)*($A$6:$A$29&lt;=A26)*$D$6:$D$29)</f>
        <v>6</v>
      </c>
      <c r="F26" s="15" t="n">
        <f aca="false">Z26*('Premissas Precept'!$B$8+'Premissas Precept'!$B$88*'Premissas Precept'!$B$89)</f>
        <v>89820</v>
      </c>
      <c r="G26" s="15" t="n">
        <f aca="false">C26*'Premissas Precept'!$B$9</f>
        <v>49985</v>
      </c>
      <c r="H26" s="15" t="n">
        <f aca="false">D26*'Premissas Precept'!$B$10</f>
        <v>29997</v>
      </c>
      <c r="I26" s="23" t="n">
        <f aca="false">F26+G26+H26</f>
        <v>169802</v>
      </c>
      <c r="J26" s="15" t="n">
        <f aca="false">SUM(I14:I25)</f>
        <v>1357033</v>
      </c>
      <c r="K26" s="40" t="n">
        <f aca="false">IF(J26&lt;=0,'Premissas Precept'!$C$24,(J26*LOOKUP(J26,'Premissas Precept'!$B$24:$B$29,'Premissas Precept'!$C$24:$C$29)-LOOKUP(J26,'Premissas Precept'!$B$24:$B$29,'Premissas Precept'!$D$24:$D$29))/J26)</f>
        <v>0.19239897998059</v>
      </c>
      <c r="L26" s="15" t="n">
        <f aca="false">I26*K26</f>
        <v>32669.7315986641</v>
      </c>
      <c r="M26" s="15" t="n">
        <f aca="false">B26*('Premissas Precept'!$B$15+'Premissas Precept'!$B$89*'Premissas Precept'!$B$90)</f>
        <v>7344</v>
      </c>
      <c r="N26" s="15" t="n">
        <f aca="false">I26*'Premissas Precept'!$B$16</f>
        <v>3396.04</v>
      </c>
      <c r="O26" s="15" t="n">
        <f aca="false">(G26+H26)*'Premissas Precept'!$B$17</f>
        <v>3999.1</v>
      </c>
      <c r="P26" s="15" t="n">
        <f aca="false">(G26+H26)*'Premissas Precept'!$B$18</f>
        <v>27993.7</v>
      </c>
      <c r="Q26" s="15" t="n">
        <f aca="false">C26*'Premissas Precept'!$B$19+D26*'Premissas Precept'!$B$20</f>
        <v>4200</v>
      </c>
      <c r="R26" s="23" t="n">
        <f aca="false">SUM(L26:Q26)</f>
        <v>79602.5715986641</v>
      </c>
      <c r="S26" s="15" t="n">
        <f aca="false">'Premissas Precept'!$B$42</f>
        <v>12000</v>
      </c>
      <c r="T26" s="15" t="n">
        <f aca="false">IF(A26&gt;='Premissas Precept'!$B$47,'Premissas Precept'!$B$48*I26,0)</f>
        <v>41601.49</v>
      </c>
      <c r="U26" s="23" t="n">
        <f aca="false">S26+T26</f>
        <v>53601.49</v>
      </c>
      <c r="V26" s="23" t="n">
        <f aca="false">I26-R26-U26</f>
        <v>36597.9384013359</v>
      </c>
      <c r="W26" s="15" t="n">
        <f aca="false">T26/'Premissas Precept'!$B$45</f>
        <v>5943.07</v>
      </c>
      <c r="X26" s="37" t="str">
        <f aca="false">IF(V26&gt;=0,"Sim","Não")</f>
        <v>Sim</v>
      </c>
      <c r="Y26" s="39" t="n">
        <f aca="false">C26*'Premissas Precept'!$B$91+SUMPRODUCT(($A$6:$A$29&gt;A26-'Premissas Precept'!$B$92)*($A$6:$A$29&lt;=A26)*$D$6:$D$29)</f>
        <v>8</v>
      </c>
      <c r="Z26" s="39" t="n">
        <f aca="false">MAX(0,B26-Y26)</f>
        <v>60</v>
      </c>
    </row>
    <row r="27" customFormat="false" ht="15" hidden="false" customHeight="false" outlineLevel="0" collapsed="false">
      <c r="A27" s="35" t="n">
        <v>22</v>
      </c>
      <c r="B27" s="38" t="n">
        <v>71</v>
      </c>
      <c r="C27" s="38" t="n">
        <v>5</v>
      </c>
      <c r="D27" s="38" t="n">
        <v>1</v>
      </c>
      <c r="E27" s="39" t="n">
        <f aca="false">SUMPRODUCT(($A$6:$A$29&gt;A27-'Premissas Precept'!$B$11)*($A$6:$A$29&lt;=A27)*$D$6:$D$29)</f>
        <v>6</v>
      </c>
      <c r="F27" s="15" t="n">
        <f aca="false">Z27*('Premissas Precept'!$B$8+'Premissas Precept'!$B$88*'Premissas Precept'!$B$89)</f>
        <v>94311</v>
      </c>
      <c r="G27" s="15" t="n">
        <f aca="false">C27*'Premissas Precept'!$B$9</f>
        <v>49985</v>
      </c>
      <c r="H27" s="15" t="n">
        <f aca="false">D27*'Premissas Precept'!$B$10</f>
        <v>29997</v>
      </c>
      <c r="I27" s="23" t="n">
        <f aca="false">F27+G27+H27</f>
        <v>174293</v>
      </c>
      <c r="J27" s="15" t="n">
        <f aca="false">SUM(I15:I26)</f>
        <v>1475404</v>
      </c>
      <c r="K27" s="40" t="n">
        <f aca="false">IF(J27&lt;=0,'Premissas Precept'!$C$24,(J27*LOOKUP(J27,'Premissas Precept'!$B$24:$B$29,'Premissas Precept'!$C$24:$C$29)-LOOKUP(J27,'Premissas Precept'!$B$24:$B$29,'Premissas Precept'!$D$24:$D$29))/J27)</f>
        <v>0.19340995415493</v>
      </c>
      <c r="L27" s="15" t="n">
        <f aca="false">I27*K27</f>
        <v>33710.0011395252</v>
      </c>
      <c r="M27" s="15" t="n">
        <f aca="false">B27*('Premissas Precept'!$B$15+'Premissas Precept'!$B$89*'Premissas Precept'!$B$90)</f>
        <v>7668</v>
      </c>
      <c r="N27" s="15" t="n">
        <f aca="false">I27*'Premissas Precept'!$B$16</f>
        <v>3485.86</v>
      </c>
      <c r="O27" s="15" t="n">
        <f aca="false">(G27+H27)*'Premissas Precept'!$B$17</f>
        <v>3999.1</v>
      </c>
      <c r="P27" s="15" t="n">
        <f aca="false">(G27+H27)*'Premissas Precept'!$B$18</f>
        <v>27993.7</v>
      </c>
      <c r="Q27" s="15" t="n">
        <f aca="false">C27*'Premissas Precept'!$B$19+D27*'Premissas Precept'!$B$20</f>
        <v>4200</v>
      </c>
      <c r="R27" s="23" t="n">
        <f aca="false">SUM(L27:Q27)</f>
        <v>81056.6611395252</v>
      </c>
      <c r="S27" s="15" t="n">
        <f aca="false">'Premissas Precept'!$B$42</f>
        <v>12000</v>
      </c>
      <c r="T27" s="15" t="n">
        <f aca="false">IF(A27&gt;='Premissas Precept'!$B$47,'Premissas Precept'!$B$48*I27,0)</f>
        <v>42701.785</v>
      </c>
      <c r="U27" s="23" t="n">
        <f aca="false">S27+T27</f>
        <v>54701.785</v>
      </c>
      <c r="V27" s="23" t="n">
        <f aca="false">I27-R27-U27</f>
        <v>38534.5538604748</v>
      </c>
      <c r="W27" s="15" t="n">
        <f aca="false">T27/'Premissas Precept'!$B$45</f>
        <v>6100.255</v>
      </c>
      <c r="X27" s="37" t="str">
        <f aca="false">IF(V27&gt;=0,"Sim","Não")</f>
        <v>Sim</v>
      </c>
      <c r="Y27" s="39" t="n">
        <f aca="false">C27*'Premissas Precept'!$B$91+SUMPRODUCT(($A$6:$A$29&gt;A27-'Premissas Precept'!$B$92)*($A$6:$A$29&lt;=A27)*$D$6:$D$29)</f>
        <v>8</v>
      </c>
      <c r="Z27" s="39" t="n">
        <f aca="false">MAX(0,B27-Y27)</f>
        <v>63</v>
      </c>
    </row>
    <row r="28" customFormat="false" ht="15" hidden="false" customHeight="false" outlineLevel="0" collapsed="false">
      <c r="A28" s="35" t="n">
        <v>23</v>
      </c>
      <c r="B28" s="38" t="n">
        <v>76</v>
      </c>
      <c r="C28" s="38" t="n">
        <v>5</v>
      </c>
      <c r="D28" s="38" t="n">
        <v>0</v>
      </c>
      <c r="E28" s="39" t="n">
        <f aca="false">SUMPRODUCT(($A$6:$A$29&gt;A28-'Premissas Precept'!$B$11)*($A$6:$A$29&lt;=A28)*$D$6:$D$29)</f>
        <v>5</v>
      </c>
      <c r="F28" s="15" t="n">
        <f aca="false">Z28*('Premissas Precept'!$B$8+'Premissas Precept'!$B$88*'Premissas Precept'!$B$89)</f>
        <v>103293</v>
      </c>
      <c r="G28" s="15" t="n">
        <f aca="false">C28*'Premissas Precept'!$B$9</f>
        <v>49985</v>
      </c>
      <c r="H28" s="15" t="n">
        <f aca="false">D28*'Premissas Precept'!$B$10</f>
        <v>0</v>
      </c>
      <c r="I28" s="23" t="n">
        <f aca="false">F28+G28+H28</f>
        <v>153278</v>
      </c>
      <c r="J28" s="15" t="n">
        <f aca="false">SUM(I16:I27)</f>
        <v>1575272</v>
      </c>
      <c r="K28" s="40" t="n">
        <f aca="false">IF(J28&lt;=0,'Premissas Precept'!$C$24,(J28*LOOKUP(J28,'Premissas Precept'!$B$24:$B$29,'Premissas Precept'!$C$24:$C$29)-LOOKUP(J28,'Premissas Precept'!$B$24:$B$29,'Premissas Precept'!$D$24:$D$29))/J28)</f>
        <v>0.194144731830439</v>
      </c>
      <c r="L28" s="15" t="n">
        <f aca="false">I28*K28</f>
        <v>29758.1162055061</v>
      </c>
      <c r="M28" s="15" t="n">
        <f aca="false">B28*('Premissas Precept'!$B$15+'Premissas Precept'!$B$89*'Premissas Precept'!$B$90)</f>
        <v>8208</v>
      </c>
      <c r="N28" s="15" t="n">
        <f aca="false">I28*'Premissas Precept'!$B$16</f>
        <v>3065.56</v>
      </c>
      <c r="O28" s="15" t="n">
        <f aca="false">(G28+H28)*'Premissas Precept'!$B$17</f>
        <v>2499.25</v>
      </c>
      <c r="P28" s="15" t="n">
        <f aca="false">(G28+H28)*'Premissas Precept'!$B$18</f>
        <v>17494.75</v>
      </c>
      <c r="Q28" s="15" t="n">
        <f aca="false">C28*'Premissas Precept'!$B$19+D28*'Premissas Precept'!$B$20</f>
        <v>3000</v>
      </c>
      <c r="R28" s="23" t="n">
        <f aca="false">SUM(L28:Q28)</f>
        <v>64025.6762055061</v>
      </c>
      <c r="S28" s="15" t="n">
        <f aca="false">'Premissas Precept'!$B$42</f>
        <v>12000</v>
      </c>
      <c r="T28" s="15" t="n">
        <f aca="false">IF(A28&gt;='Premissas Precept'!$B$47,'Premissas Precept'!$B$48*I28,0)</f>
        <v>37553.11</v>
      </c>
      <c r="U28" s="23" t="n">
        <f aca="false">S28+T28</f>
        <v>49553.11</v>
      </c>
      <c r="V28" s="23" t="n">
        <f aca="false">I28-R28-U28</f>
        <v>39699.2137944939</v>
      </c>
      <c r="W28" s="15" t="n">
        <f aca="false">T28/'Premissas Precept'!$B$45</f>
        <v>5364.73</v>
      </c>
      <c r="X28" s="37" t="str">
        <f aca="false">IF(V28&gt;=0,"Sim","Não")</f>
        <v>Sim</v>
      </c>
      <c r="Y28" s="39" t="n">
        <f aca="false">C28*'Premissas Precept'!$B$91+SUMPRODUCT(($A$6:$A$29&gt;A28-'Premissas Precept'!$B$92)*($A$6:$A$29&lt;=A28)*$D$6:$D$29)</f>
        <v>7</v>
      </c>
      <c r="Z28" s="39" t="n">
        <f aca="false">MAX(0,B28-Y28)</f>
        <v>69</v>
      </c>
    </row>
    <row r="29" customFormat="false" ht="15" hidden="false" customHeight="false" outlineLevel="0" collapsed="false">
      <c r="A29" s="35" t="n">
        <v>24</v>
      </c>
      <c r="B29" s="38" t="n">
        <v>79</v>
      </c>
      <c r="C29" s="38" t="n">
        <v>5</v>
      </c>
      <c r="D29" s="38" t="n">
        <v>1</v>
      </c>
      <c r="E29" s="39" t="n">
        <f aca="false">SUMPRODUCT(($A$6:$A$29&gt;A29-'Premissas Precept'!$B$11)*($A$6:$A$29&lt;=A29)*$D$6:$D$29)</f>
        <v>5</v>
      </c>
      <c r="F29" s="15" t="n">
        <f aca="false">Z29*('Premissas Precept'!$B$8+'Premissas Precept'!$B$88*'Premissas Precept'!$B$89)</f>
        <v>107784</v>
      </c>
      <c r="G29" s="15" t="n">
        <f aca="false">C29*'Premissas Precept'!$B$9</f>
        <v>49985</v>
      </c>
      <c r="H29" s="15" t="n">
        <f aca="false">D29*'Premissas Precept'!$B$10</f>
        <v>29997</v>
      </c>
      <c r="I29" s="23" t="n">
        <f aca="false">F29+G29+H29</f>
        <v>187766</v>
      </c>
      <c r="J29" s="15" t="n">
        <f aca="false">SUM(I17:I28)</f>
        <v>1669634</v>
      </c>
      <c r="K29" s="40" t="n">
        <f aca="false">IF(J29&lt;=0,'Premissas Precept'!$C$24,(J29*LOOKUP(J29,'Premissas Precept'!$B$24:$B$29,'Premissas Precept'!$C$24:$C$29)-LOOKUP(J29,'Premissas Precept'!$B$24:$B$29,'Premissas Precept'!$D$24:$D$29))/J29)</f>
        <v>0.194758234439404</v>
      </c>
      <c r="L29" s="15" t="n">
        <f aca="false">I29*K29</f>
        <v>36568.9746477491</v>
      </c>
      <c r="M29" s="15" t="n">
        <f aca="false">B29*('Premissas Precept'!$B$15+'Premissas Precept'!$B$89*'Premissas Precept'!$B$90)</f>
        <v>8532</v>
      </c>
      <c r="N29" s="15" t="n">
        <f aca="false">I29*'Premissas Precept'!$B$16</f>
        <v>3755.32</v>
      </c>
      <c r="O29" s="15" t="n">
        <f aca="false">(G29+H29)*'Premissas Precept'!$B$17</f>
        <v>3999.1</v>
      </c>
      <c r="P29" s="15" t="n">
        <f aca="false">(G29+H29)*'Premissas Precept'!$B$18</f>
        <v>27993.7</v>
      </c>
      <c r="Q29" s="15" t="n">
        <f aca="false">C29*'Premissas Precept'!$B$19+D29*'Premissas Precept'!$B$20</f>
        <v>4200</v>
      </c>
      <c r="R29" s="23" t="n">
        <f aca="false">SUM(L29:Q29)</f>
        <v>85049.0946477491</v>
      </c>
      <c r="S29" s="15" t="n">
        <f aca="false">'Premissas Precept'!$B$42</f>
        <v>12000</v>
      </c>
      <c r="T29" s="15" t="n">
        <f aca="false">IF(A29&gt;='Premissas Precept'!$B$47,'Premissas Precept'!$B$48*I29,0)</f>
        <v>46002.67</v>
      </c>
      <c r="U29" s="23" t="n">
        <f aca="false">S29+T29</f>
        <v>58002.67</v>
      </c>
      <c r="V29" s="23" t="n">
        <f aca="false">I29-R29-U29</f>
        <v>44714.2353522509</v>
      </c>
      <c r="W29" s="15" t="n">
        <f aca="false">T29/'Premissas Precept'!$B$45</f>
        <v>6571.81</v>
      </c>
      <c r="X29" s="37" t="str">
        <f aca="false">IF(V29&gt;=0,"Sim","Não")</f>
        <v>Sim</v>
      </c>
      <c r="Y29" s="39" t="n">
        <f aca="false">C29*'Premissas Precept'!$B$91+SUMPRODUCT(($A$6:$A$29&gt;A29-'Premissas Precept'!$B$92)*($A$6:$A$29&lt;=A29)*$D$6:$D$29)</f>
        <v>7</v>
      </c>
      <c r="Z29" s="39" t="n">
        <f aca="false">MAX(0,B29-Y29)</f>
        <v>72</v>
      </c>
    </row>
    <row r="30" customFormat="false" ht="15" hidden="false" customHeight="false" outlineLevel="0" collapsed="false">
      <c r="A30" s="41" t="s">
        <v>197</v>
      </c>
      <c r="B30" s="42" t="n">
        <f aca="false">SUM(B6:B29)</f>
        <v>902</v>
      </c>
      <c r="C30" s="42" t="n">
        <f aca="false">SUM(C6:C29)</f>
        <v>65</v>
      </c>
      <c r="D30" s="42" t="n">
        <f aca="false">SUM(D6:D29)</f>
        <v>15</v>
      </c>
      <c r="E30" s="33"/>
      <c r="F30" s="23" t="n">
        <f aca="false">SUM(F6:F29)</f>
        <v>1188618</v>
      </c>
      <c r="G30" s="23" t="n">
        <f aca="false">SUM(G6:G29)</f>
        <v>649805</v>
      </c>
      <c r="H30" s="23" t="n">
        <f aca="false">SUM(H6:H29)</f>
        <v>449955</v>
      </c>
      <c r="I30" s="23" t="n">
        <f aca="false">SUM(I6:I29)</f>
        <v>2288378</v>
      </c>
      <c r="J30" s="33"/>
      <c r="K30" s="33"/>
      <c r="L30" s="23" t="n">
        <f aca="false">SUM(L6:L29)</f>
        <v>419912.293739298</v>
      </c>
      <c r="M30" s="23" t="n">
        <f aca="false">SUM(M6:M29)</f>
        <v>97416</v>
      </c>
      <c r="N30" s="23" t="n">
        <f aca="false">SUM(N6:N29)</f>
        <v>45767.56</v>
      </c>
      <c r="O30" s="23" t="n">
        <f aca="false">SUM(O6:O29)</f>
        <v>54988</v>
      </c>
      <c r="P30" s="23" t="n">
        <f aca="false">SUM(P6:P29)</f>
        <v>384916</v>
      </c>
      <c r="Q30" s="23" t="n">
        <f aca="false">SUM(Q6:Q29)</f>
        <v>57000</v>
      </c>
      <c r="R30" s="23" t="n">
        <f aca="false">SUM(R6:R29)</f>
        <v>1059999.8537393</v>
      </c>
      <c r="S30" s="23" t="n">
        <f aca="false">SUM(S6:S29)</f>
        <v>288000</v>
      </c>
      <c r="T30" s="23" t="n">
        <f aca="false">SUM(T6:T29)</f>
        <v>553684.075</v>
      </c>
      <c r="U30" s="23" t="n">
        <f aca="false">SUM(U6:U29)</f>
        <v>841684.075</v>
      </c>
      <c r="V30" s="23" t="n">
        <f aca="false">SUM(V6:V29)</f>
        <v>386694.071260702</v>
      </c>
      <c r="W30" s="23" t="n">
        <f aca="false">SUM(W6:W29)</f>
        <v>79097.725</v>
      </c>
      <c r="X30" s="33"/>
      <c r="Y30" s="42" t="n">
        <f aca="false">SUM(Y6:Y29)</f>
        <v>108</v>
      </c>
      <c r="Z30" s="42" t="n">
        <f aca="false">SUM(Z6:Z29)</f>
        <v>794</v>
      </c>
    </row>
    <row r="32" customFormat="false" ht="15" hidden="false" customHeight="false" outlineLevel="0" collapsed="false">
      <c r="A32" s="43" t="s">
        <v>198</v>
      </c>
    </row>
    <row r="33" customFormat="false" ht="42" hidden="false" customHeight="true" outlineLevel="0" collapsed="false">
      <c r="A33" s="18" t="s">
        <v>199</v>
      </c>
      <c r="B33" s="18"/>
      <c r="C33" s="18" t="s">
        <v>200</v>
      </c>
      <c r="D33" s="18"/>
      <c r="E33" s="18" t="s">
        <v>201</v>
      </c>
      <c r="F33" s="18" t="s">
        <v>202</v>
      </c>
      <c r="G33" s="18" t="s">
        <v>203</v>
      </c>
      <c r="H33" s="18" t="s">
        <v>204</v>
      </c>
      <c r="I33" s="18" t="s">
        <v>205</v>
      </c>
      <c r="J33" s="18" t="s">
        <v>206</v>
      </c>
      <c r="K33" s="18" t="s">
        <v>207</v>
      </c>
      <c r="L33" s="18" t="s">
        <v>208</v>
      </c>
      <c r="M33" s="18" t="s">
        <v>209</v>
      </c>
    </row>
    <row r="34" customFormat="false" ht="15" hidden="false" customHeight="false" outlineLevel="0" collapsed="false">
      <c r="A34" s="44" t="s">
        <v>210</v>
      </c>
      <c r="B34" s="44"/>
      <c r="C34" s="45" t="s">
        <v>211</v>
      </c>
      <c r="D34" s="45"/>
      <c r="E34" s="15" t="n">
        <v>0</v>
      </c>
      <c r="F34" s="15" t="n">
        <v>0</v>
      </c>
      <c r="G34" s="15" t="n">
        <v>0</v>
      </c>
      <c r="H34" s="29" t="n">
        <f aca="false">'Premissas Precept'!B58</f>
        <v>102000</v>
      </c>
      <c r="I34" s="33"/>
      <c r="J34" s="33"/>
      <c r="K34" s="33"/>
      <c r="L34" s="33"/>
      <c r="M34" s="33"/>
    </row>
    <row r="35" customFormat="false" ht="15" hidden="false" customHeight="false" outlineLevel="0" collapsed="false">
      <c r="A35" s="44" t="s">
        <v>212</v>
      </c>
      <c r="B35" s="44"/>
      <c r="C35" s="45" t="s">
        <v>213</v>
      </c>
      <c r="D35" s="45"/>
      <c r="E35" s="29" t="n">
        <f aca="false">AVERAGE(I6:I11)</f>
        <v>23970</v>
      </c>
      <c r="F35" s="29" t="n">
        <f aca="false">AVERAGE(R6:R11)</f>
        <v>9798.06316471175</v>
      </c>
      <c r="G35" s="29" t="n">
        <f aca="false">AVERAGE(U6:U11)</f>
        <v>16711.2275</v>
      </c>
      <c r="H35" s="15" t="n">
        <v>0</v>
      </c>
      <c r="I35" s="24" t="n">
        <f aca="false">F35/E35</f>
        <v>0.408763586345922</v>
      </c>
      <c r="J35" s="15" t="n">
        <f aca="false">E35-F35-G35</f>
        <v>-2539.29066471175</v>
      </c>
      <c r="K35" s="46" t="n">
        <f aca="false">AVERAGE(B6:B11)</f>
        <v>10</v>
      </c>
      <c r="L35" s="36" t="n">
        <f aca="false">SUM(C6:C11)</f>
        <v>3</v>
      </c>
      <c r="M35" s="36" t="n">
        <f aca="false">SUM(D6:D11)</f>
        <v>1</v>
      </c>
    </row>
    <row r="36" customFormat="false" ht="15" hidden="false" customHeight="false" outlineLevel="0" collapsed="false">
      <c r="A36" s="44" t="s">
        <v>214</v>
      </c>
      <c r="B36" s="44"/>
      <c r="C36" s="45" t="s">
        <v>215</v>
      </c>
      <c r="D36" s="45"/>
      <c r="E36" s="29" t="n">
        <f aca="false">AVERAGE(I12:I17)</f>
        <v>61511.3333333333</v>
      </c>
      <c r="F36" s="29" t="n">
        <f aca="false">AVERAGE(R12:R17)</f>
        <v>27099.8994905629</v>
      </c>
      <c r="G36" s="29" t="n">
        <f aca="false">AVERAGE(U12:U17)</f>
        <v>27070.2766666667</v>
      </c>
      <c r="H36" s="15" t="n">
        <v>0</v>
      </c>
      <c r="I36" s="24" t="n">
        <f aca="false">F36/E36</f>
        <v>0.440567583598084</v>
      </c>
      <c r="J36" s="15" t="n">
        <f aca="false">E36-F36-G36</f>
        <v>7341.15717610375</v>
      </c>
      <c r="K36" s="46" t="n">
        <f aca="false">AVERAGE(B12:B17)</f>
        <v>25</v>
      </c>
      <c r="L36" s="36" t="n">
        <f aca="false">SUM(C12:C17)</f>
        <v>8</v>
      </c>
      <c r="M36" s="36" t="n">
        <f aca="false">SUM(D12:D17)</f>
        <v>3</v>
      </c>
    </row>
    <row r="37" customFormat="false" ht="15" hidden="false" customHeight="false" outlineLevel="0" collapsed="false">
      <c r="A37" s="44" t="s">
        <v>216</v>
      </c>
      <c r="B37" s="44"/>
      <c r="C37" s="45" t="s">
        <v>217</v>
      </c>
      <c r="D37" s="45"/>
      <c r="E37" s="29" t="n">
        <f aca="false">AVERAGE(I18:I29)</f>
        <v>147957.5</v>
      </c>
      <c r="F37" s="29" t="n">
        <f aca="false">AVERAGE(R18:R29)</f>
        <v>69884.3398173041</v>
      </c>
      <c r="G37" s="29" t="n">
        <f aca="false">AVERAGE(U18:U29)</f>
        <v>48249.5875</v>
      </c>
      <c r="H37" s="15" t="n">
        <v>0</v>
      </c>
      <c r="I37" s="24" t="n">
        <f aca="false">F37/E37</f>
        <v>0.472327119729004</v>
      </c>
      <c r="J37" s="15" t="n">
        <f aca="false">E37-F37-G37</f>
        <v>29823.5726826959</v>
      </c>
      <c r="K37" s="46" t="n">
        <f aca="false">AVERAGE(B18:B29)</f>
        <v>57.6666666666667</v>
      </c>
      <c r="L37" s="36" t="n">
        <f aca="false">SUM(C18:C29)</f>
        <v>54</v>
      </c>
      <c r="M37" s="36" t="n">
        <f aca="false">SUM(D18:D29)</f>
        <v>11</v>
      </c>
    </row>
    <row r="40" customFormat="false" ht="15" hidden="false" customHeight="false" outlineLevel="0" collapsed="false">
      <c r="A40" s="43" t="s">
        <v>218</v>
      </c>
    </row>
    <row r="41" customFormat="false" ht="30" hidden="false" customHeight="true" outlineLevel="0" collapsed="false">
      <c r="A41" s="18" t="s">
        <v>219</v>
      </c>
      <c r="B41" s="18"/>
      <c r="C41" s="18"/>
      <c r="D41" s="18"/>
      <c r="E41" s="18" t="s">
        <v>220</v>
      </c>
      <c r="F41" s="18" t="s">
        <v>221</v>
      </c>
      <c r="G41" s="18" t="s">
        <v>222</v>
      </c>
    </row>
    <row r="42" customFormat="false" ht="15" hidden="false" customHeight="false" outlineLevel="0" collapsed="false">
      <c r="A42" s="47" t="s">
        <v>223</v>
      </c>
      <c r="B42" s="47"/>
      <c r="C42" s="47"/>
      <c r="D42" s="47"/>
      <c r="E42" s="46" t="n">
        <f aca="false">AVERAGE(Z18:Z29)*'Premissas Precept'!B7</f>
        <v>30.25</v>
      </c>
      <c r="F42" s="15" t="n">
        <f aca="false">'Premissas Precept'!B5</f>
        <v>997</v>
      </c>
      <c r="G42" s="15" t="n">
        <f aca="false">E42*F42</f>
        <v>30159.25</v>
      </c>
    </row>
    <row r="43" customFormat="false" ht="15" hidden="false" customHeight="false" outlineLevel="0" collapsed="false">
      <c r="A43" s="47" t="s">
        <v>224</v>
      </c>
      <c r="B43" s="47"/>
      <c r="C43" s="47"/>
      <c r="D43" s="47"/>
      <c r="E43" s="46" t="n">
        <f aca="false">AVERAGE(Z18:Z29)*(1-'Premissas Precept'!B7)</f>
        <v>20.1666666666667</v>
      </c>
      <c r="F43" s="15" t="n">
        <f aca="false">'Premissas Precept'!B6</f>
        <v>1497</v>
      </c>
      <c r="G43" s="15" t="n">
        <f aca="false">E43*F43</f>
        <v>30189.5</v>
      </c>
    </row>
    <row r="44" customFormat="false" ht="15" hidden="false" customHeight="false" outlineLevel="0" collapsed="false">
      <c r="A44" s="47" t="s">
        <v>225</v>
      </c>
      <c r="B44" s="47"/>
      <c r="C44" s="47"/>
      <c r="D44" s="47"/>
      <c r="E44" s="46" t="n">
        <f aca="false">AVERAGE(Z18:Z29)*'Premissas Precept'!B89</f>
        <v>50.4166666666667</v>
      </c>
      <c r="F44" s="15" t="n">
        <f aca="false">'Premissas Precept'!B88</f>
        <v>300</v>
      </c>
      <c r="G44" s="15" t="n">
        <f aca="false">E44*F44</f>
        <v>15125</v>
      </c>
    </row>
    <row r="45" customFormat="false" ht="15" hidden="false" customHeight="false" outlineLevel="0" collapsed="false">
      <c r="A45" s="47" t="s">
        <v>226</v>
      </c>
      <c r="B45" s="47"/>
      <c r="C45" s="47"/>
      <c r="D45" s="47"/>
      <c r="E45" s="46" t="n">
        <f aca="false">AVERAGE(C18:C29)</f>
        <v>4.5</v>
      </c>
      <c r="F45" s="15" t="n">
        <f aca="false">'Premissas Precept'!B9</f>
        <v>9997</v>
      </c>
      <c r="G45" s="15" t="n">
        <f aca="false">E45*F45</f>
        <v>44986.5</v>
      </c>
    </row>
    <row r="46" customFormat="false" ht="15" hidden="false" customHeight="false" outlineLevel="0" collapsed="false">
      <c r="A46" s="47" t="s">
        <v>227</v>
      </c>
      <c r="B46" s="47"/>
      <c r="C46" s="47"/>
      <c r="D46" s="47"/>
      <c r="E46" s="46" t="n">
        <f aca="false">AVERAGE(D18:D29)</f>
        <v>0.916666666666667</v>
      </c>
      <c r="F46" s="15" t="n">
        <f aca="false">'Premissas Precept'!B10</f>
        <v>29997</v>
      </c>
      <c r="G46" s="15" t="n">
        <f aca="false">E46*F46</f>
        <v>27497.25</v>
      </c>
    </row>
    <row r="47" customFormat="false" ht="15" hidden="false" customHeight="false" outlineLevel="0" collapsed="false">
      <c r="A47" s="44" t="s">
        <v>228</v>
      </c>
      <c r="B47" s="44"/>
      <c r="C47" s="44"/>
      <c r="D47" s="44"/>
      <c r="E47" s="46"/>
      <c r="F47" s="15"/>
      <c r="G47" s="29" t="n">
        <f aca="false">SUM(G42:G46)</f>
        <v>147957.5</v>
      </c>
    </row>
    <row r="48" customFormat="false" ht="15" hidden="false" customHeight="false" outlineLevel="0" collapsed="false">
      <c r="A48" s="47" t="s">
        <v>229</v>
      </c>
      <c r="B48" s="47"/>
      <c r="C48" s="47"/>
      <c r="D48" s="47"/>
      <c r="E48" s="46" t="n">
        <f aca="false">AVERAGE(B18:B29)</f>
        <v>57.6666666666667</v>
      </c>
      <c r="F48" s="15" t="n">
        <f aca="false">'Premissas Precept'!B15</f>
        <v>90</v>
      </c>
      <c r="G48" s="15" t="n">
        <f aca="false">AVERAGE(M18:M29)</f>
        <v>6228</v>
      </c>
    </row>
    <row r="49" customFormat="false" ht="15" hidden="false" customHeight="false" outlineLevel="0" collapsed="false">
      <c r="A49" s="47" t="s">
        <v>230</v>
      </c>
      <c r="B49" s="47"/>
      <c r="C49" s="47"/>
      <c r="D49" s="47"/>
      <c r="E49" s="46"/>
      <c r="F49" s="24" t="n">
        <f aca="false">G49/G47</f>
        <v>0.188592601370692</v>
      </c>
      <c r="G49" s="15" t="n">
        <f aca="false">AVERAGE(L18:L29)</f>
        <v>27903.6898173041</v>
      </c>
    </row>
    <row r="50" customFormat="false" ht="15" hidden="false" customHeight="false" outlineLevel="0" collapsed="false">
      <c r="A50" s="47" t="s">
        <v>231</v>
      </c>
      <c r="B50" s="47"/>
      <c r="C50" s="47"/>
      <c r="D50" s="47"/>
      <c r="E50" s="46"/>
      <c r="F50" s="24" t="n">
        <f aca="false">'Premissas Precept'!B16</f>
        <v>0.02</v>
      </c>
      <c r="G50" s="15" t="n">
        <f aca="false">AVERAGE(N18:N29)</f>
        <v>2959.15</v>
      </c>
    </row>
    <row r="51" customFormat="false" ht="15" hidden="false" customHeight="false" outlineLevel="0" collapsed="false">
      <c r="A51" s="47" t="s">
        <v>232</v>
      </c>
      <c r="B51" s="47"/>
      <c r="C51" s="47"/>
      <c r="D51" s="47"/>
      <c r="E51" s="46"/>
      <c r="F51" s="24" t="n">
        <f aca="false">'Premissas Precept'!B17</f>
        <v>0.05</v>
      </c>
      <c r="G51" s="15" t="n">
        <f aca="false">AVERAGE(O18:O29)</f>
        <v>3624.1875</v>
      </c>
    </row>
    <row r="52" customFormat="false" ht="15" hidden="false" customHeight="false" outlineLevel="0" collapsed="false">
      <c r="A52" s="47" t="s">
        <v>233</v>
      </c>
      <c r="B52" s="47"/>
      <c r="C52" s="47"/>
      <c r="D52" s="47"/>
      <c r="E52" s="46"/>
      <c r="F52" s="15"/>
      <c r="G52" s="15" t="n">
        <f aca="false">AVERAGE(Q18:Q29)</f>
        <v>3800</v>
      </c>
    </row>
    <row r="53" customFormat="false" ht="15" hidden="false" customHeight="false" outlineLevel="0" collapsed="false">
      <c r="A53" s="47" t="s">
        <v>234</v>
      </c>
      <c r="B53" s="47"/>
      <c r="C53" s="47"/>
      <c r="D53" s="47"/>
      <c r="E53" s="46"/>
      <c r="F53" s="24" t="n">
        <f aca="false">'Premissas Precept'!B18</f>
        <v>0.35</v>
      </c>
      <c r="G53" s="15" t="n">
        <f aca="false">AVERAGE(P18:P29)</f>
        <v>25369.3125</v>
      </c>
    </row>
    <row r="54" customFormat="false" ht="15" hidden="false" customHeight="false" outlineLevel="0" collapsed="false">
      <c r="A54" s="44" t="s">
        <v>235</v>
      </c>
      <c r="B54" s="44"/>
      <c r="C54" s="44"/>
      <c r="D54" s="44"/>
      <c r="E54" s="46"/>
      <c r="F54" s="24" t="n">
        <f aca="false">G54/G47</f>
        <v>0.472327119729004</v>
      </c>
      <c r="G54" s="29" t="n">
        <f aca="false">SUM(G48:G53)</f>
        <v>69884.3398173041</v>
      </c>
    </row>
    <row r="55" customFormat="false" ht="15" hidden="false" customHeight="false" outlineLevel="0" collapsed="false">
      <c r="A55" s="47" t="s">
        <v>236</v>
      </c>
      <c r="B55" s="47"/>
      <c r="C55" s="47"/>
      <c r="D55" s="47"/>
      <c r="E55" s="46"/>
      <c r="F55" s="24" t="n">
        <f aca="false">'Premissas Precept'!B48</f>
        <v>0.245</v>
      </c>
      <c r="G55" s="15" t="n">
        <f aca="false">AVERAGE(T18:T29)</f>
        <v>36249.5875</v>
      </c>
    </row>
    <row r="56" customFormat="false" ht="15" hidden="false" customHeight="false" outlineLevel="0" collapsed="false">
      <c r="A56" s="47" t="s">
        <v>237</v>
      </c>
      <c r="B56" s="47"/>
      <c r="C56" s="47"/>
      <c r="D56" s="47"/>
      <c r="E56" s="46"/>
      <c r="F56" s="15"/>
      <c r="G56" s="15" t="n">
        <f aca="false">'Premissas Precept'!B42</f>
        <v>12000</v>
      </c>
    </row>
    <row r="57" customFormat="false" ht="15" hidden="false" customHeight="false" outlineLevel="0" collapsed="false">
      <c r="A57" s="44" t="s">
        <v>238</v>
      </c>
      <c r="B57" s="44"/>
      <c r="C57" s="44"/>
      <c r="D57" s="44"/>
      <c r="E57" s="46"/>
      <c r="F57" s="15"/>
      <c r="G57" s="29" t="n">
        <f aca="false">G55+G56</f>
        <v>48249.5875</v>
      </c>
    </row>
  </sheetData>
  <mergeCells count="24">
    <mergeCell ref="A34:B34"/>
    <mergeCell ref="C34:D34"/>
    <mergeCell ref="A35:B35"/>
    <mergeCell ref="C35:D35"/>
    <mergeCell ref="A36:B36"/>
    <mergeCell ref="C36:D36"/>
    <mergeCell ref="A37:B37"/>
    <mergeCell ref="C37:D37"/>
    <mergeCell ref="A42:D42"/>
    <mergeCell ref="A43:D43"/>
    <mergeCell ref="A44:D44"/>
    <mergeCell ref="A45:D45"/>
    <mergeCell ref="A46:D46"/>
    <mergeCell ref="A47:D47"/>
    <mergeCell ref="A48:D48"/>
    <mergeCell ref="A49:D49"/>
    <mergeCell ref="A50:D50"/>
    <mergeCell ref="A51:D51"/>
    <mergeCell ref="A52:D52"/>
    <mergeCell ref="A53:D53"/>
    <mergeCell ref="A54:D54"/>
    <mergeCell ref="A55:D55"/>
    <mergeCell ref="A56:D56"/>
    <mergeCell ref="A57:D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4" min="2" style="1" width="16"/>
    <col collapsed="false" customWidth="true" hidden="false" outlineLevel="0" max="5" min="5" style="1" width="20"/>
    <col collapsed="false" customWidth="true" hidden="false" outlineLevel="0" max="6" min="6" style="1" width="16"/>
    <col collapsed="false" customWidth="true" hidden="false" outlineLevel="0" max="7" min="7" style="1" width="20"/>
  </cols>
  <sheetData>
    <row r="1" customFormat="false" ht="17.25" hidden="false" customHeight="true" outlineLevel="0" collapsed="false">
      <c r="A1" s="48" t="s">
        <v>239</v>
      </c>
      <c r="B1" s="49"/>
      <c r="C1" s="49"/>
      <c r="D1" s="49"/>
      <c r="E1" s="49"/>
      <c r="F1" s="49"/>
      <c r="G1" s="49"/>
    </row>
    <row r="2" customFormat="false" ht="15" hidden="false" customHeight="true" outlineLevel="0" collapsed="false">
      <c r="A2" s="50" t="s">
        <v>240</v>
      </c>
    </row>
    <row r="4" customFormat="false" ht="31.5" hidden="false" customHeight="true" outlineLevel="0" collapsed="false">
      <c r="A4" s="18" t="s">
        <v>241</v>
      </c>
      <c r="B4" s="18" t="s">
        <v>178</v>
      </c>
      <c r="C4" s="18" t="s">
        <v>187</v>
      </c>
      <c r="D4" s="18" t="s">
        <v>190</v>
      </c>
      <c r="E4" s="18" t="s">
        <v>191</v>
      </c>
      <c r="F4" s="18" t="s">
        <v>204</v>
      </c>
      <c r="G4" s="18" t="s">
        <v>242</v>
      </c>
    </row>
    <row r="5" customFormat="false" ht="15" hidden="false" customHeight="true" outlineLevel="0" collapsed="false">
      <c r="A5" s="51" t="n">
        <v>0</v>
      </c>
      <c r="B5" s="52" t="n">
        <v>0</v>
      </c>
      <c r="C5" s="52" t="n">
        <v>0</v>
      </c>
      <c r="D5" s="52" t="n">
        <v>0</v>
      </c>
      <c r="E5" s="53" t="n">
        <f aca="false">B5-C5-D5</f>
        <v>0</v>
      </c>
      <c r="F5" s="52" t="n">
        <f aca="false">'Premissas Precept'!B58</f>
        <v>102000</v>
      </c>
      <c r="G5" s="54" t="n">
        <f aca="false">E5-F5</f>
        <v>-102000</v>
      </c>
    </row>
    <row r="6" customFormat="false" ht="15" hidden="false" customHeight="true" outlineLevel="0" collapsed="false">
      <c r="A6" s="51" t="n">
        <v>1</v>
      </c>
      <c r="B6" s="52" t="n">
        <f aca="false">'Projeção Mensal'!I6</f>
        <v>5988</v>
      </c>
      <c r="C6" s="52" t="n">
        <f aca="false">'Projeção Mensal'!R6</f>
        <v>1479.9</v>
      </c>
      <c r="D6" s="52" t="n">
        <f aca="false">'Projeção Mensal'!U6</f>
        <v>12000</v>
      </c>
      <c r="E6" s="53" t="n">
        <f aca="false">B6-C6-D6</f>
        <v>-7491.9</v>
      </c>
      <c r="F6" s="52"/>
      <c r="G6" s="54" t="n">
        <f aca="false">E6-F6</f>
        <v>-7491.9</v>
      </c>
    </row>
    <row r="7" customFormat="false" ht="15" hidden="false" customHeight="true" outlineLevel="0" collapsed="false">
      <c r="A7" s="51" t="n">
        <v>2</v>
      </c>
      <c r="B7" s="52" t="n">
        <f aca="false">'Projeção Mensal'!I7</f>
        <v>8982</v>
      </c>
      <c r="C7" s="52" t="n">
        <f aca="false">'Projeção Mensal'!R7</f>
        <v>2219.85</v>
      </c>
      <c r="D7" s="52" t="n">
        <f aca="false">'Projeção Mensal'!U7</f>
        <v>12000</v>
      </c>
      <c r="E7" s="53" t="n">
        <f aca="false">B7-C7-D7</f>
        <v>-5237.85</v>
      </c>
      <c r="F7" s="52"/>
      <c r="G7" s="54" t="n">
        <f aca="false">E7-F7</f>
        <v>-5237.85</v>
      </c>
    </row>
    <row r="8" customFormat="false" ht="15" hidden="false" customHeight="true" outlineLevel="0" collapsed="false">
      <c r="A8" s="51" t="n">
        <v>3</v>
      </c>
      <c r="B8" s="52" t="n">
        <f aca="false">'Projeção Mensal'!I8</f>
        <v>13473</v>
      </c>
      <c r="C8" s="52" t="n">
        <f aca="false">'Projeção Mensal'!R8</f>
        <v>3329.775</v>
      </c>
      <c r="D8" s="52" t="n">
        <f aca="false">'Projeção Mensal'!U8</f>
        <v>12000</v>
      </c>
      <c r="E8" s="53" t="n">
        <f aca="false">B8-C8-D8</f>
        <v>-1856.775</v>
      </c>
      <c r="F8" s="52"/>
      <c r="G8" s="54" t="n">
        <f aca="false">E8-F8</f>
        <v>-1856.775</v>
      </c>
    </row>
    <row r="9" customFormat="false" ht="15" hidden="false" customHeight="true" outlineLevel="0" collapsed="false">
      <c r="A9" s="51" t="n">
        <v>4</v>
      </c>
      <c r="B9" s="52" t="n">
        <f aca="false">'Projeção Mensal'!I9</f>
        <v>24967</v>
      </c>
      <c r="C9" s="52" t="n">
        <f aca="false">'Projeção Mensal'!R9</f>
        <v>10156.025</v>
      </c>
      <c r="D9" s="52" t="n">
        <f aca="false">'Projeção Mensal'!U9</f>
        <v>18116.915</v>
      </c>
      <c r="E9" s="53" t="n">
        <f aca="false">B9-C9-D9</f>
        <v>-3305.94</v>
      </c>
      <c r="F9" s="52"/>
      <c r="G9" s="54" t="n">
        <f aca="false">E9-F9</f>
        <v>-3305.94</v>
      </c>
    </row>
    <row r="10" customFormat="false" ht="15" hidden="false" customHeight="true" outlineLevel="0" collapsed="false">
      <c r="A10" s="51" t="n">
        <v>5</v>
      </c>
      <c r="B10" s="52" t="n">
        <f aca="false">'Projeção Mensal'!I10</f>
        <v>29458</v>
      </c>
      <c r="C10" s="52" t="n">
        <f aca="false">'Projeção Mensal'!R10</f>
        <v>11265.95</v>
      </c>
      <c r="D10" s="52" t="n">
        <f aca="false">'Projeção Mensal'!U10</f>
        <v>19217.21</v>
      </c>
      <c r="E10" s="53" t="n">
        <f aca="false">B10-C10-D10</f>
        <v>-1025.16</v>
      </c>
      <c r="F10" s="52"/>
      <c r="G10" s="54" t="n">
        <f aca="false">E10-F10</f>
        <v>-1025.16</v>
      </c>
    </row>
    <row r="11" customFormat="false" ht="15" hidden="false" customHeight="true" outlineLevel="0" collapsed="false">
      <c r="A11" s="51" t="n">
        <v>6</v>
      </c>
      <c r="B11" s="52" t="n">
        <f aca="false">'Projeção Mensal'!I11</f>
        <v>60952</v>
      </c>
      <c r="C11" s="52" t="n">
        <f aca="false">'Projeção Mensal'!R11</f>
        <v>30336.8789882705</v>
      </c>
      <c r="D11" s="52" t="n">
        <f aca="false">'Projeção Mensal'!U11</f>
        <v>26933.24</v>
      </c>
      <c r="E11" s="53" t="n">
        <f aca="false">B11-C11-D11</f>
        <v>3681.8810117295</v>
      </c>
      <c r="F11" s="52"/>
      <c r="G11" s="54" t="n">
        <f aca="false">E11-F11</f>
        <v>3681.8810117295</v>
      </c>
    </row>
    <row r="12" customFormat="false" ht="15" hidden="false" customHeight="true" outlineLevel="0" collapsed="false">
      <c r="A12" s="51" t="n">
        <v>7</v>
      </c>
      <c r="B12" s="52" t="n">
        <f aca="false">'Projeção Mensal'!I12</f>
        <v>35446</v>
      </c>
      <c r="C12" s="52" t="n">
        <f aca="false">'Projeção Mensal'!R12</f>
        <v>13185.4630788486</v>
      </c>
      <c r="D12" s="52" t="n">
        <f aca="false">'Projeção Mensal'!U12</f>
        <v>20684.27</v>
      </c>
      <c r="E12" s="53" t="n">
        <f aca="false">B12-C12-D12</f>
        <v>1576.26692115144</v>
      </c>
      <c r="F12" s="52"/>
      <c r="G12" s="54" t="n">
        <f aca="false">E12-F12</f>
        <v>1576.26692115144</v>
      </c>
    </row>
    <row r="13" customFormat="false" ht="15" hidden="false" customHeight="true" outlineLevel="0" collapsed="false">
      <c r="A13" s="51" t="n">
        <v>8</v>
      </c>
      <c r="B13" s="52" t="n">
        <f aca="false">'Projeção Mensal'!I13</f>
        <v>66940</v>
      </c>
      <c r="C13" s="52" t="n">
        <f aca="false">'Projeção Mensal'!R13</f>
        <v>32473.394606897</v>
      </c>
      <c r="D13" s="52" t="n">
        <f aca="false">'Projeção Mensal'!U13</f>
        <v>28400.3</v>
      </c>
      <c r="E13" s="53" t="n">
        <f aca="false">B13-C13-D13</f>
        <v>6066.30539310299</v>
      </c>
      <c r="F13" s="52"/>
      <c r="G13" s="54" t="n">
        <f aca="false">E13-F13</f>
        <v>6066.30539310299</v>
      </c>
    </row>
    <row r="14" customFormat="false" ht="15" hidden="false" customHeight="true" outlineLevel="0" collapsed="false">
      <c r="A14" s="51" t="n">
        <v>9</v>
      </c>
      <c r="B14" s="52" t="n">
        <f aca="false">'Projeção Mensal'!I14</f>
        <v>51431</v>
      </c>
      <c r="C14" s="52" t="n">
        <f aca="false">'Projeção Mensal'!R14</f>
        <v>21468.5634248962</v>
      </c>
      <c r="D14" s="52" t="n">
        <f aca="false">'Projeção Mensal'!U14</f>
        <v>24600.595</v>
      </c>
      <c r="E14" s="53" t="n">
        <f aca="false">B14-C14-D14</f>
        <v>5361.84157510377</v>
      </c>
      <c r="F14" s="52"/>
      <c r="G14" s="54" t="n">
        <f aca="false">E14-F14</f>
        <v>5361.84157510377</v>
      </c>
    </row>
    <row r="15" customFormat="false" ht="15" hidden="false" customHeight="true" outlineLevel="0" collapsed="false">
      <c r="A15" s="51" t="n">
        <v>10</v>
      </c>
      <c r="B15" s="52" t="n">
        <f aca="false">'Projeção Mensal'!I15</f>
        <v>74425</v>
      </c>
      <c r="C15" s="52" t="n">
        <f aca="false">'Projeção Mensal'!R15</f>
        <v>34750.3320927002</v>
      </c>
      <c r="D15" s="52" t="n">
        <f aca="false">'Projeção Mensal'!U15</f>
        <v>30234.125</v>
      </c>
      <c r="E15" s="53" t="n">
        <f aca="false">B15-C15-D15</f>
        <v>9440.54290729983</v>
      </c>
      <c r="F15" s="52"/>
      <c r="G15" s="54" t="n">
        <f aca="false">E15-F15</f>
        <v>9440.54290729983</v>
      </c>
    </row>
    <row r="16" customFormat="false" ht="15" hidden="false" customHeight="true" outlineLevel="0" collapsed="false">
      <c r="A16" s="51" t="n">
        <v>11</v>
      </c>
      <c r="B16" s="52" t="n">
        <f aca="false">'Projeção Mensal'!I16</f>
        <v>58916</v>
      </c>
      <c r="C16" s="52" t="n">
        <f aca="false">'Projeção Mensal'!R16</f>
        <v>23690.1528924749</v>
      </c>
      <c r="D16" s="52" t="n">
        <f aca="false">'Projeção Mensal'!U16</f>
        <v>26434.42</v>
      </c>
      <c r="E16" s="53" t="n">
        <f aca="false">B16-C16-D16</f>
        <v>8791.42710752508</v>
      </c>
      <c r="F16" s="52"/>
      <c r="G16" s="54" t="n">
        <f aca="false">E16-F16</f>
        <v>8791.42710752508</v>
      </c>
    </row>
    <row r="17" customFormat="false" ht="15" hidden="false" customHeight="true" outlineLevel="0" collapsed="false">
      <c r="A17" s="51" t="n">
        <v>12</v>
      </c>
      <c r="B17" s="52" t="n">
        <f aca="false">'Projeção Mensal'!I17</f>
        <v>81910</v>
      </c>
      <c r="C17" s="52" t="n">
        <f aca="false">'Projeção Mensal'!R17</f>
        <v>37031.4908475607</v>
      </c>
      <c r="D17" s="52" t="n">
        <f aca="false">'Projeção Mensal'!U17</f>
        <v>32067.95</v>
      </c>
      <c r="E17" s="53" t="n">
        <f aca="false">B17-C17-D17</f>
        <v>12810.5591524393</v>
      </c>
      <c r="F17" s="52"/>
      <c r="G17" s="54" t="n">
        <f aca="false">E17-F17</f>
        <v>12810.5591524393</v>
      </c>
    </row>
    <row r="18" customFormat="false" ht="15" hidden="false" customHeight="true" outlineLevel="0" collapsed="false">
      <c r="A18" s="51" t="n">
        <v>13</v>
      </c>
      <c r="B18" s="52" t="n">
        <f aca="false">'Projeção Mensal'!I18</f>
        <v>114895</v>
      </c>
      <c r="C18" s="52" t="n">
        <f aca="false">'Projeção Mensal'!R18</f>
        <v>57966.6688817052</v>
      </c>
      <c r="D18" s="52" t="n">
        <f aca="false">'Projeção Mensal'!U18</f>
        <v>40149.275</v>
      </c>
      <c r="E18" s="53" t="n">
        <f aca="false">B18-C18-D18</f>
        <v>16779.0561182948</v>
      </c>
      <c r="F18" s="52"/>
      <c r="G18" s="54" t="n">
        <f aca="false">E18-F18</f>
        <v>16779.0561182948</v>
      </c>
    </row>
    <row r="19" customFormat="false" ht="15" hidden="false" customHeight="true" outlineLevel="0" collapsed="false">
      <c r="A19" s="51" t="n">
        <v>14</v>
      </c>
      <c r="B19" s="52" t="n">
        <f aca="false">'Projeção Mensal'!I19</f>
        <v>119386</v>
      </c>
      <c r="C19" s="52" t="n">
        <f aca="false">'Projeção Mensal'!R19</f>
        <v>59681.1683465612</v>
      </c>
      <c r="D19" s="52" t="n">
        <f aca="false">'Projeção Mensal'!U19</f>
        <v>41249.57</v>
      </c>
      <c r="E19" s="53" t="n">
        <f aca="false">B19-C19-D19</f>
        <v>18455.2616534388</v>
      </c>
      <c r="F19" s="52"/>
      <c r="G19" s="54" t="n">
        <f aca="false">E19-F19</f>
        <v>18455.2616534388</v>
      </c>
    </row>
    <row r="20" customFormat="false" ht="15" hidden="false" customHeight="true" outlineLevel="0" collapsed="false">
      <c r="A20" s="51" t="n">
        <v>15</v>
      </c>
      <c r="B20" s="52" t="n">
        <f aca="false">'Projeção Mensal'!I20</f>
        <v>125374</v>
      </c>
      <c r="C20" s="52" t="n">
        <f aca="false">'Projeção Mensal'!R20</f>
        <v>61627.1271537519</v>
      </c>
      <c r="D20" s="52" t="n">
        <f aca="false">'Projeção Mensal'!U20</f>
        <v>42716.63</v>
      </c>
      <c r="E20" s="53" t="n">
        <f aca="false">B20-C20-D20</f>
        <v>21030.2428462481</v>
      </c>
      <c r="F20" s="52"/>
      <c r="G20" s="54" t="n">
        <f aca="false">E20-F20</f>
        <v>21030.2428462481</v>
      </c>
    </row>
    <row r="21" customFormat="false" ht="15" hidden="false" customHeight="true" outlineLevel="0" collapsed="false">
      <c r="A21" s="51" t="n">
        <v>16</v>
      </c>
      <c r="B21" s="52" t="n">
        <f aca="false">'Projeção Mensal'!I21</f>
        <v>131362</v>
      </c>
      <c r="C21" s="52" t="n">
        <f aca="false">'Projeção Mensal'!R21</f>
        <v>63673.2840244047</v>
      </c>
      <c r="D21" s="52" t="n">
        <f aca="false">'Projeção Mensal'!U21</f>
        <v>44183.69</v>
      </c>
      <c r="E21" s="53" t="n">
        <f aca="false">B21-C21-D21</f>
        <v>23505.0259755953</v>
      </c>
      <c r="F21" s="52"/>
      <c r="G21" s="54" t="n">
        <f aca="false">E21-F21</f>
        <v>23505.0259755953</v>
      </c>
    </row>
    <row r="22" customFormat="false" ht="15" hidden="false" customHeight="true" outlineLevel="0" collapsed="false">
      <c r="A22" s="51" t="n">
        <v>17</v>
      </c>
      <c r="B22" s="52" t="n">
        <f aca="false">'Projeção Mensal'!I22</f>
        <v>135853</v>
      </c>
      <c r="C22" s="52" t="n">
        <f aca="false">'Projeção Mensal'!R22</f>
        <v>65224.8444945791</v>
      </c>
      <c r="D22" s="52" t="n">
        <f aca="false">'Projeção Mensal'!U22</f>
        <v>45283.985</v>
      </c>
      <c r="E22" s="53" t="n">
        <f aca="false">B22-C22-D22</f>
        <v>25344.1705054209</v>
      </c>
      <c r="F22" s="52"/>
      <c r="G22" s="54" t="n">
        <f aca="false">E22-F22</f>
        <v>25344.1705054209</v>
      </c>
    </row>
    <row r="23" customFormat="false" ht="15" hidden="false" customHeight="true" outlineLevel="0" collapsed="false">
      <c r="A23" s="51" t="n">
        <v>18</v>
      </c>
      <c r="B23" s="52" t="n">
        <f aca="false">'Projeção Mensal'!I23</f>
        <v>141841</v>
      </c>
      <c r="C23" s="52" t="n">
        <f aca="false">'Projeção Mensal'!R23</f>
        <v>67153.3020657306</v>
      </c>
      <c r="D23" s="52" t="n">
        <f aca="false">'Projeção Mensal'!U23</f>
        <v>46751.045</v>
      </c>
      <c r="E23" s="53" t="n">
        <f aca="false">B23-C23-D23</f>
        <v>27936.6529342694</v>
      </c>
      <c r="F23" s="52"/>
      <c r="G23" s="54" t="n">
        <f aca="false">E23-F23</f>
        <v>27936.6529342694</v>
      </c>
    </row>
    <row r="24" customFormat="false" ht="15" hidden="false" customHeight="true" outlineLevel="0" collapsed="false">
      <c r="A24" s="51" t="n">
        <v>19</v>
      </c>
      <c r="B24" s="52" t="n">
        <f aca="false">'Projeção Mensal'!I24</f>
        <v>157826</v>
      </c>
      <c r="C24" s="52" t="n">
        <f aca="false">'Projeção Mensal'!R24</f>
        <v>75811.6387394652</v>
      </c>
      <c r="D24" s="52" t="n">
        <f aca="false">'Projeção Mensal'!U24</f>
        <v>50667.37</v>
      </c>
      <c r="E24" s="53" t="n">
        <f aca="false">B24-C24-D24</f>
        <v>31346.9912605348</v>
      </c>
      <c r="F24" s="52"/>
      <c r="G24" s="54" t="n">
        <f aca="false">E24-F24</f>
        <v>31346.9912605348</v>
      </c>
    </row>
    <row r="25" customFormat="false" ht="15" hidden="false" customHeight="true" outlineLevel="0" collapsed="false">
      <c r="A25" s="51" t="n">
        <v>20</v>
      </c>
      <c r="B25" s="52" t="n">
        <f aca="false">'Projeção Mensal'!I25</f>
        <v>163814</v>
      </c>
      <c r="C25" s="52" t="n">
        <f aca="false">'Projeção Mensal'!R25</f>
        <v>77740.0405100071</v>
      </c>
      <c r="D25" s="52" t="n">
        <f aca="false">'Projeção Mensal'!U25</f>
        <v>52134.43</v>
      </c>
      <c r="E25" s="53" t="n">
        <f aca="false">B25-C25-D25</f>
        <v>33939.5294899929</v>
      </c>
      <c r="F25" s="52"/>
      <c r="G25" s="54" t="n">
        <f aca="false">E25-F25</f>
        <v>33939.5294899929</v>
      </c>
    </row>
    <row r="26" customFormat="false" ht="15" hidden="false" customHeight="true" outlineLevel="0" collapsed="false">
      <c r="A26" s="51" t="n">
        <v>21</v>
      </c>
      <c r="B26" s="52" t="n">
        <f aca="false">'Projeção Mensal'!I26</f>
        <v>169802</v>
      </c>
      <c r="C26" s="52" t="n">
        <f aca="false">'Projeção Mensal'!R26</f>
        <v>79602.5715986641</v>
      </c>
      <c r="D26" s="52" t="n">
        <f aca="false">'Projeção Mensal'!U26</f>
        <v>53601.49</v>
      </c>
      <c r="E26" s="53" t="n">
        <f aca="false">B26-C26-D26</f>
        <v>36597.9384013359</v>
      </c>
      <c r="F26" s="52"/>
      <c r="G26" s="54" t="n">
        <f aca="false">E26-F26</f>
        <v>36597.9384013359</v>
      </c>
    </row>
    <row r="27" customFormat="false" ht="15" hidden="false" customHeight="true" outlineLevel="0" collapsed="false">
      <c r="A27" s="51" t="n">
        <v>22</v>
      </c>
      <c r="B27" s="52" t="n">
        <f aca="false">'Projeção Mensal'!I27</f>
        <v>174293</v>
      </c>
      <c r="C27" s="52" t="n">
        <f aca="false">'Projeção Mensal'!R27</f>
        <v>81056.6611395252</v>
      </c>
      <c r="D27" s="52" t="n">
        <f aca="false">'Projeção Mensal'!U27</f>
        <v>54701.785</v>
      </c>
      <c r="E27" s="53" t="n">
        <f aca="false">B27-C27-D27</f>
        <v>38534.5538604748</v>
      </c>
      <c r="F27" s="52"/>
      <c r="G27" s="54" t="n">
        <f aca="false">E27-F27</f>
        <v>38534.5538604748</v>
      </c>
    </row>
    <row r="28" customFormat="false" ht="15" hidden="false" customHeight="true" outlineLevel="0" collapsed="false">
      <c r="A28" s="51" t="n">
        <v>23</v>
      </c>
      <c r="B28" s="52" t="n">
        <f aca="false">'Projeção Mensal'!I28</f>
        <v>153278</v>
      </c>
      <c r="C28" s="52" t="n">
        <f aca="false">'Projeção Mensal'!R28</f>
        <v>64025.6762055061</v>
      </c>
      <c r="D28" s="52" t="n">
        <f aca="false">'Projeção Mensal'!U28</f>
        <v>49553.11</v>
      </c>
      <c r="E28" s="53" t="n">
        <f aca="false">B28-C28-D28</f>
        <v>39699.2137944939</v>
      </c>
      <c r="F28" s="52"/>
      <c r="G28" s="54" t="n">
        <f aca="false">E28-F28</f>
        <v>39699.2137944939</v>
      </c>
    </row>
    <row r="29" customFormat="false" ht="15" hidden="false" customHeight="true" outlineLevel="0" collapsed="false">
      <c r="A29" s="51" t="n">
        <v>24</v>
      </c>
      <c r="B29" s="52" t="n">
        <f aca="false">'Projeção Mensal'!I29</f>
        <v>187766</v>
      </c>
      <c r="C29" s="52" t="n">
        <f aca="false">'Projeção Mensal'!R29</f>
        <v>85049.0946477491</v>
      </c>
      <c r="D29" s="52" t="n">
        <f aca="false">'Projeção Mensal'!U29</f>
        <v>58002.67</v>
      </c>
      <c r="E29" s="53" t="n">
        <f aca="false">B29-C29-D29</f>
        <v>44714.2353522509</v>
      </c>
      <c r="F29" s="52"/>
      <c r="G29" s="54" t="n">
        <f aca="false">E29-F29</f>
        <v>44714.2353522509</v>
      </c>
    </row>
    <row r="30" customFormat="false" ht="15" hidden="false" customHeight="true" outlineLevel="0" collapsed="false">
      <c r="A30" s="55" t="s">
        <v>197</v>
      </c>
      <c r="B30" s="54" t="n">
        <f aca="false">SUM(B5:B29)</f>
        <v>2288378</v>
      </c>
      <c r="C30" s="54" t="n">
        <f aca="false">SUM(C5:C29)</f>
        <v>1059999.8537393</v>
      </c>
      <c r="D30" s="54" t="n">
        <f aca="false">SUM(D5:D29)</f>
        <v>841684.075</v>
      </c>
      <c r="E30" s="54" t="n">
        <f aca="false">SUM(E5:E29)</f>
        <v>386694.071260702</v>
      </c>
      <c r="F30" s="54" t="n">
        <f aca="false">SUM(F5:F29)</f>
        <v>102000</v>
      </c>
      <c r="G30" s="54" t="n">
        <f aca="false">SUM(G5:G29)</f>
        <v>284694.071260702</v>
      </c>
    </row>
    <row r="32" customFormat="false" ht="15" hidden="false" customHeight="true" outlineLevel="0" collapsed="false">
      <c r="A32" s="56" t="s">
        <v>243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5" min="2" style="1" width="16"/>
    <col collapsed="false" customWidth="true" hidden="false" outlineLevel="0" max="7" min="6" style="1" width="20"/>
    <col collapsed="false" customWidth="true" hidden="false" outlineLevel="0" max="8" min="8" style="1" width="14"/>
  </cols>
  <sheetData>
    <row r="1" customFormat="false" ht="17.25" hidden="false" customHeight="true" outlineLevel="0" collapsed="false">
      <c r="A1" s="48" t="s">
        <v>244</v>
      </c>
      <c r="B1" s="49"/>
      <c r="C1" s="49"/>
      <c r="D1" s="49"/>
      <c r="E1" s="49"/>
      <c r="F1" s="49"/>
      <c r="G1" s="49"/>
      <c r="H1" s="49"/>
    </row>
    <row r="2" customFormat="false" ht="15" hidden="false" customHeight="true" outlineLevel="0" collapsed="false">
      <c r="A2" s="50" t="s">
        <v>245</v>
      </c>
    </row>
    <row r="4" customFormat="false" ht="31.5" hidden="false" customHeight="true" outlineLevel="0" collapsed="false">
      <c r="A4" s="18" t="s">
        <v>241</v>
      </c>
      <c r="B4" s="18" t="s">
        <v>178</v>
      </c>
      <c r="C4" s="18" t="s">
        <v>187</v>
      </c>
      <c r="D4" s="18" t="s">
        <v>190</v>
      </c>
      <c r="E4" s="18" t="s">
        <v>204</v>
      </c>
      <c r="F4" s="18" t="s">
        <v>242</v>
      </c>
      <c r="G4" s="18" t="s">
        <v>246</v>
      </c>
      <c r="H4" s="18" t="s">
        <v>247</v>
      </c>
    </row>
    <row r="5" customFormat="false" ht="15" hidden="false" customHeight="true" outlineLevel="0" collapsed="false">
      <c r="A5" s="51" t="n">
        <v>0</v>
      </c>
      <c r="B5" s="53" t="n">
        <f aca="false">'Fluxo de Caixa'!B5</f>
        <v>0</v>
      </c>
      <c r="C5" s="53" t="n">
        <f aca="false">'Fluxo de Caixa'!C5</f>
        <v>0</v>
      </c>
      <c r="D5" s="53" t="n">
        <f aca="false">'Fluxo de Caixa'!D5</f>
        <v>0</v>
      </c>
      <c r="E5" s="53" t="n">
        <f aca="false">'Fluxo de Caixa'!F5</f>
        <v>102000</v>
      </c>
      <c r="F5" s="53" t="n">
        <f aca="false">'Fluxo de Caixa'!G5</f>
        <v>-102000</v>
      </c>
      <c r="G5" s="54" t="n">
        <f aca="false">F5</f>
        <v>-102000</v>
      </c>
      <c r="H5" s="57" t="str">
        <f aca="false">IF(G5&gt;=0,"Sim","Não")</f>
        <v>Não</v>
      </c>
    </row>
    <row r="6" customFormat="false" ht="15" hidden="false" customHeight="true" outlineLevel="0" collapsed="false">
      <c r="A6" s="51" t="n">
        <v>1</v>
      </c>
      <c r="B6" s="53" t="n">
        <f aca="false">'Fluxo de Caixa'!B6</f>
        <v>5988</v>
      </c>
      <c r="C6" s="53" t="n">
        <f aca="false">'Fluxo de Caixa'!C6</f>
        <v>1479.9</v>
      </c>
      <c r="D6" s="53" t="n">
        <f aca="false">'Fluxo de Caixa'!D6</f>
        <v>12000</v>
      </c>
      <c r="E6" s="53" t="n">
        <f aca="false">'Fluxo de Caixa'!F6</f>
        <v>0</v>
      </c>
      <c r="F6" s="53" t="n">
        <f aca="false">'Fluxo de Caixa'!G6</f>
        <v>-7491.9</v>
      </c>
      <c r="G6" s="54" t="n">
        <f aca="false">G5+F6</f>
        <v>-109491.9</v>
      </c>
      <c r="H6" s="57" t="str">
        <f aca="false">IF(G6&gt;=0,"Sim","Não")</f>
        <v>Não</v>
      </c>
    </row>
    <row r="7" customFormat="false" ht="15" hidden="false" customHeight="true" outlineLevel="0" collapsed="false">
      <c r="A7" s="51" t="n">
        <v>2</v>
      </c>
      <c r="B7" s="53" t="n">
        <f aca="false">'Fluxo de Caixa'!B7</f>
        <v>8982</v>
      </c>
      <c r="C7" s="53" t="n">
        <f aca="false">'Fluxo de Caixa'!C7</f>
        <v>2219.85</v>
      </c>
      <c r="D7" s="53" t="n">
        <f aca="false">'Fluxo de Caixa'!D7</f>
        <v>12000</v>
      </c>
      <c r="E7" s="53" t="n">
        <f aca="false">'Fluxo de Caixa'!F7</f>
        <v>0</v>
      </c>
      <c r="F7" s="53" t="n">
        <f aca="false">'Fluxo de Caixa'!G7</f>
        <v>-5237.85</v>
      </c>
      <c r="G7" s="54" t="n">
        <f aca="false">G6+F7</f>
        <v>-114729.75</v>
      </c>
      <c r="H7" s="57" t="str">
        <f aca="false">IF(G7&gt;=0,"Sim","Não")</f>
        <v>Não</v>
      </c>
    </row>
    <row r="8" customFormat="false" ht="15" hidden="false" customHeight="true" outlineLevel="0" collapsed="false">
      <c r="A8" s="51" t="n">
        <v>3</v>
      </c>
      <c r="B8" s="53" t="n">
        <f aca="false">'Fluxo de Caixa'!B8</f>
        <v>13473</v>
      </c>
      <c r="C8" s="53" t="n">
        <f aca="false">'Fluxo de Caixa'!C8</f>
        <v>3329.775</v>
      </c>
      <c r="D8" s="53" t="n">
        <f aca="false">'Fluxo de Caixa'!D8</f>
        <v>12000</v>
      </c>
      <c r="E8" s="53" t="n">
        <f aca="false">'Fluxo de Caixa'!F8</f>
        <v>0</v>
      </c>
      <c r="F8" s="53" t="n">
        <f aca="false">'Fluxo de Caixa'!G8</f>
        <v>-1856.775</v>
      </c>
      <c r="G8" s="54" t="n">
        <f aca="false">G7+F8</f>
        <v>-116586.525</v>
      </c>
      <c r="H8" s="57" t="str">
        <f aca="false">IF(G8&gt;=0,"Sim","Não")</f>
        <v>Não</v>
      </c>
    </row>
    <row r="9" customFormat="false" ht="15" hidden="false" customHeight="true" outlineLevel="0" collapsed="false">
      <c r="A9" s="51" t="n">
        <v>4</v>
      </c>
      <c r="B9" s="53" t="n">
        <f aca="false">'Fluxo de Caixa'!B9</f>
        <v>24967</v>
      </c>
      <c r="C9" s="53" t="n">
        <f aca="false">'Fluxo de Caixa'!C9</f>
        <v>10156.025</v>
      </c>
      <c r="D9" s="53" t="n">
        <f aca="false">'Fluxo de Caixa'!D9</f>
        <v>18116.915</v>
      </c>
      <c r="E9" s="53" t="n">
        <f aca="false">'Fluxo de Caixa'!F9</f>
        <v>0</v>
      </c>
      <c r="F9" s="53" t="n">
        <f aca="false">'Fluxo de Caixa'!G9</f>
        <v>-3305.94</v>
      </c>
      <c r="G9" s="54" t="n">
        <f aca="false">G8+F9</f>
        <v>-119892.465</v>
      </c>
      <c r="H9" s="57" t="str">
        <f aca="false">IF(G9&gt;=0,"Sim","Não")</f>
        <v>Não</v>
      </c>
    </row>
    <row r="10" customFormat="false" ht="15" hidden="false" customHeight="true" outlineLevel="0" collapsed="false">
      <c r="A10" s="51" t="n">
        <v>5</v>
      </c>
      <c r="B10" s="53" t="n">
        <f aca="false">'Fluxo de Caixa'!B10</f>
        <v>29458</v>
      </c>
      <c r="C10" s="53" t="n">
        <f aca="false">'Fluxo de Caixa'!C10</f>
        <v>11265.95</v>
      </c>
      <c r="D10" s="53" t="n">
        <f aca="false">'Fluxo de Caixa'!D10</f>
        <v>19217.21</v>
      </c>
      <c r="E10" s="53" t="n">
        <f aca="false">'Fluxo de Caixa'!F10</f>
        <v>0</v>
      </c>
      <c r="F10" s="53" t="n">
        <f aca="false">'Fluxo de Caixa'!G10</f>
        <v>-1025.16</v>
      </c>
      <c r="G10" s="54" t="n">
        <f aca="false">G9+F10</f>
        <v>-120917.625</v>
      </c>
      <c r="H10" s="57" t="str">
        <f aca="false">IF(G10&gt;=0,"Sim","Não")</f>
        <v>Não</v>
      </c>
    </row>
    <row r="11" customFormat="false" ht="15" hidden="false" customHeight="true" outlineLevel="0" collapsed="false">
      <c r="A11" s="51" t="n">
        <v>6</v>
      </c>
      <c r="B11" s="53" t="n">
        <f aca="false">'Fluxo de Caixa'!B11</f>
        <v>60952</v>
      </c>
      <c r="C11" s="53" t="n">
        <f aca="false">'Fluxo de Caixa'!C11</f>
        <v>30336.8789882705</v>
      </c>
      <c r="D11" s="53" t="n">
        <f aca="false">'Fluxo de Caixa'!D11</f>
        <v>26933.24</v>
      </c>
      <c r="E11" s="53" t="n">
        <f aca="false">'Fluxo de Caixa'!F11</f>
        <v>0</v>
      </c>
      <c r="F11" s="53" t="n">
        <f aca="false">'Fluxo de Caixa'!G11</f>
        <v>3681.8810117295</v>
      </c>
      <c r="G11" s="54" t="n">
        <f aca="false">G10+F11</f>
        <v>-117235.743988271</v>
      </c>
      <c r="H11" s="57" t="str">
        <f aca="false">IF(G11&gt;=0,"Sim","Não")</f>
        <v>Não</v>
      </c>
    </row>
    <row r="12" customFormat="false" ht="15" hidden="false" customHeight="true" outlineLevel="0" collapsed="false">
      <c r="A12" s="51" t="n">
        <v>7</v>
      </c>
      <c r="B12" s="53" t="n">
        <f aca="false">'Fluxo de Caixa'!B12</f>
        <v>35446</v>
      </c>
      <c r="C12" s="53" t="n">
        <f aca="false">'Fluxo de Caixa'!C12</f>
        <v>13185.4630788486</v>
      </c>
      <c r="D12" s="53" t="n">
        <f aca="false">'Fluxo de Caixa'!D12</f>
        <v>20684.27</v>
      </c>
      <c r="E12" s="53" t="n">
        <f aca="false">'Fluxo de Caixa'!F12</f>
        <v>0</v>
      </c>
      <c r="F12" s="53" t="n">
        <f aca="false">'Fluxo de Caixa'!G12</f>
        <v>1576.26692115144</v>
      </c>
      <c r="G12" s="54" t="n">
        <f aca="false">G11+F12</f>
        <v>-115659.477067119</v>
      </c>
      <c r="H12" s="57" t="str">
        <f aca="false">IF(G12&gt;=0,"Sim","Não")</f>
        <v>Não</v>
      </c>
    </row>
    <row r="13" customFormat="false" ht="15" hidden="false" customHeight="true" outlineLevel="0" collapsed="false">
      <c r="A13" s="51" t="n">
        <v>8</v>
      </c>
      <c r="B13" s="53" t="n">
        <f aca="false">'Fluxo de Caixa'!B13</f>
        <v>66940</v>
      </c>
      <c r="C13" s="53" t="n">
        <f aca="false">'Fluxo de Caixa'!C13</f>
        <v>32473.394606897</v>
      </c>
      <c r="D13" s="53" t="n">
        <f aca="false">'Fluxo de Caixa'!D13</f>
        <v>28400.3</v>
      </c>
      <c r="E13" s="53" t="n">
        <f aca="false">'Fluxo de Caixa'!F13</f>
        <v>0</v>
      </c>
      <c r="F13" s="53" t="n">
        <f aca="false">'Fluxo de Caixa'!G13</f>
        <v>6066.30539310299</v>
      </c>
      <c r="G13" s="54" t="n">
        <f aca="false">G12+F13</f>
        <v>-109593.171674016</v>
      </c>
      <c r="H13" s="57" t="str">
        <f aca="false">IF(G13&gt;=0,"Sim","Não")</f>
        <v>Não</v>
      </c>
    </row>
    <row r="14" customFormat="false" ht="15" hidden="false" customHeight="true" outlineLevel="0" collapsed="false">
      <c r="A14" s="51" t="n">
        <v>9</v>
      </c>
      <c r="B14" s="53" t="n">
        <f aca="false">'Fluxo de Caixa'!B14</f>
        <v>51431</v>
      </c>
      <c r="C14" s="53" t="n">
        <f aca="false">'Fluxo de Caixa'!C14</f>
        <v>21468.5634248962</v>
      </c>
      <c r="D14" s="53" t="n">
        <f aca="false">'Fluxo de Caixa'!D14</f>
        <v>24600.595</v>
      </c>
      <c r="E14" s="53" t="n">
        <f aca="false">'Fluxo de Caixa'!F14</f>
        <v>0</v>
      </c>
      <c r="F14" s="53" t="n">
        <f aca="false">'Fluxo de Caixa'!G14</f>
        <v>5361.84157510377</v>
      </c>
      <c r="G14" s="54" t="n">
        <f aca="false">G13+F14</f>
        <v>-104231.330098912</v>
      </c>
      <c r="H14" s="57" t="str">
        <f aca="false">IF(G14&gt;=0,"Sim","Não")</f>
        <v>Não</v>
      </c>
    </row>
    <row r="15" customFormat="false" ht="15" hidden="false" customHeight="true" outlineLevel="0" collapsed="false">
      <c r="A15" s="51" t="n">
        <v>10</v>
      </c>
      <c r="B15" s="53" t="n">
        <f aca="false">'Fluxo de Caixa'!B15</f>
        <v>74425</v>
      </c>
      <c r="C15" s="53" t="n">
        <f aca="false">'Fluxo de Caixa'!C15</f>
        <v>34750.3320927002</v>
      </c>
      <c r="D15" s="53" t="n">
        <f aca="false">'Fluxo de Caixa'!D15</f>
        <v>30234.125</v>
      </c>
      <c r="E15" s="53" t="n">
        <f aca="false">'Fluxo de Caixa'!F15</f>
        <v>0</v>
      </c>
      <c r="F15" s="53" t="n">
        <f aca="false">'Fluxo de Caixa'!G15</f>
        <v>9440.54290729983</v>
      </c>
      <c r="G15" s="54" t="n">
        <f aca="false">G14+F15</f>
        <v>-94790.7871916125</v>
      </c>
      <c r="H15" s="57" t="str">
        <f aca="false">IF(G15&gt;=0,"Sim","Não")</f>
        <v>Não</v>
      </c>
    </row>
    <row r="16" customFormat="false" ht="15" hidden="false" customHeight="true" outlineLevel="0" collapsed="false">
      <c r="A16" s="51" t="n">
        <v>11</v>
      </c>
      <c r="B16" s="53" t="n">
        <f aca="false">'Fluxo de Caixa'!B16</f>
        <v>58916</v>
      </c>
      <c r="C16" s="53" t="n">
        <f aca="false">'Fluxo de Caixa'!C16</f>
        <v>23690.1528924749</v>
      </c>
      <c r="D16" s="53" t="n">
        <f aca="false">'Fluxo de Caixa'!D16</f>
        <v>26434.42</v>
      </c>
      <c r="E16" s="53" t="n">
        <f aca="false">'Fluxo de Caixa'!F16</f>
        <v>0</v>
      </c>
      <c r="F16" s="53" t="n">
        <f aca="false">'Fluxo de Caixa'!G16</f>
        <v>8791.42710752508</v>
      </c>
      <c r="G16" s="54" t="n">
        <f aca="false">G15+F16</f>
        <v>-85999.3600840874</v>
      </c>
      <c r="H16" s="57" t="str">
        <f aca="false">IF(G16&gt;=0,"Sim","Não")</f>
        <v>Não</v>
      </c>
    </row>
    <row r="17" customFormat="false" ht="15" hidden="false" customHeight="true" outlineLevel="0" collapsed="false">
      <c r="A17" s="51" t="n">
        <v>12</v>
      </c>
      <c r="B17" s="53" t="n">
        <f aca="false">'Fluxo de Caixa'!B17</f>
        <v>81910</v>
      </c>
      <c r="C17" s="53" t="n">
        <f aca="false">'Fluxo de Caixa'!C17</f>
        <v>37031.4908475607</v>
      </c>
      <c r="D17" s="53" t="n">
        <f aca="false">'Fluxo de Caixa'!D17</f>
        <v>32067.95</v>
      </c>
      <c r="E17" s="53" t="n">
        <f aca="false">'Fluxo de Caixa'!F17</f>
        <v>0</v>
      </c>
      <c r="F17" s="53" t="n">
        <f aca="false">'Fluxo de Caixa'!G17</f>
        <v>12810.5591524393</v>
      </c>
      <c r="G17" s="54" t="n">
        <f aca="false">G16+F17</f>
        <v>-73188.8009316481</v>
      </c>
      <c r="H17" s="57" t="str">
        <f aca="false">IF(G17&gt;=0,"Sim","Não")</f>
        <v>Não</v>
      </c>
    </row>
    <row r="18" customFormat="false" ht="15" hidden="false" customHeight="true" outlineLevel="0" collapsed="false">
      <c r="A18" s="51" t="n">
        <v>13</v>
      </c>
      <c r="B18" s="53" t="n">
        <f aca="false">'Fluxo de Caixa'!B18</f>
        <v>114895</v>
      </c>
      <c r="C18" s="53" t="n">
        <f aca="false">'Fluxo de Caixa'!C18</f>
        <v>57966.6688817052</v>
      </c>
      <c r="D18" s="53" t="n">
        <f aca="false">'Fluxo de Caixa'!D18</f>
        <v>40149.275</v>
      </c>
      <c r="E18" s="53" t="n">
        <f aca="false">'Fluxo de Caixa'!F18</f>
        <v>0</v>
      </c>
      <c r="F18" s="53" t="n">
        <f aca="false">'Fluxo de Caixa'!G18</f>
        <v>16779.0561182948</v>
      </c>
      <c r="G18" s="54" t="n">
        <f aca="false">G17+F18</f>
        <v>-56409.7448133532</v>
      </c>
      <c r="H18" s="57" t="str">
        <f aca="false">IF(G18&gt;=0,"Sim","Não")</f>
        <v>Não</v>
      </c>
    </row>
    <row r="19" customFormat="false" ht="15" hidden="false" customHeight="true" outlineLevel="0" collapsed="false">
      <c r="A19" s="51" t="n">
        <v>14</v>
      </c>
      <c r="B19" s="53" t="n">
        <f aca="false">'Fluxo de Caixa'!B19</f>
        <v>119386</v>
      </c>
      <c r="C19" s="53" t="n">
        <f aca="false">'Fluxo de Caixa'!C19</f>
        <v>59681.1683465612</v>
      </c>
      <c r="D19" s="53" t="n">
        <f aca="false">'Fluxo de Caixa'!D19</f>
        <v>41249.57</v>
      </c>
      <c r="E19" s="53" t="n">
        <f aca="false">'Fluxo de Caixa'!F19</f>
        <v>0</v>
      </c>
      <c r="F19" s="53" t="n">
        <f aca="false">'Fluxo de Caixa'!G19</f>
        <v>18455.2616534388</v>
      </c>
      <c r="G19" s="54" t="n">
        <f aca="false">G18+F19</f>
        <v>-37954.4831599144</v>
      </c>
      <c r="H19" s="57" t="str">
        <f aca="false">IF(G19&gt;=0,"Sim","Não")</f>
        <v>Não</v>
      </c>
    </row>
    <row r="20" customFormat="false" ht="15" hidden="false" customHeight="true" outlineLevel="0" collapsed="false">
      <c r="A20" s="51" t="n">
        <v>15</v>
      </c>
      <c r="B20" s="53" t="n">
        <f aca="false">'Fluxo de Caixa'!B20</f>
        <v>125374</v>
      </c>
      <c r="C20" s="53" t="n">
        <f aca="false">'Fluxo de Caixa'!C20</f>
        <v>61627.1271537519</v>
      </c>
      <c r="D20" s="53" t="n">
        <f aca="false">'Fluxo de Caixa'!D20</f>
        <v>42716.63</v>
      </c>
      <c r="E20" s="53" t="n">
        <f aca="false">'Fluxo de Caixa'!F20</f>
        <v>0</v>
      </c>
      <c r="F20" s="53" t="n">
        <f aca="false">'Fluxo de Caixa'!G20</f>
        <v>21030.2428462481</v>
      </c>
      <c r="G20" s="54" t="n">
        <f aca="false">G19+F20</f>
        <v>-16924.2403136663</v>
      </c>
      <c r="H20" s="57" t="str">
        <f aca="false">IF(G20&gt;=0,"Sim","Não")</f>
        <v>Não</v>
      </c>
    </row>
    <row r="21" customFormat="false" ht="15" hidden="false" customHeight="true" outlineLevel="0" collapsed="false">
      <c r="A21" s="51" t="n">
        <v>16</v>
      </c>
      <c r="B21" s="53" t="n">
        <f aca="false">'Fluxo de Caixa'!B21</f>
        <v>131362</v>
      </c>
      <c r="C21" s="53" t="n">
        <f aca="false">'Fluxo de Caixa'!C21</f>
        <v>63673.2840244047</v>
      </c>
      <c r="D21" s="53" t="n">
        <f aca="false">'Fluxo de Caixa'!D21</f>
        <v>44183.69</v>
      </c>
      <c r="E21" s="53" t="n">
        <f aca="false">'Fluxo de Caixa'!F21</f>
        <v>0</v>
      </c>
      <c r="F21" s="53" t="n">
        <f aca="false">'Fluxo de Caixa'!G21</f>
        <v>23505.0259755953</v>
      </c>
      <c r="G21" s="54" t="n">
        <f aca="false">G20+F21</f>
        <v>6580.78566192901</v>
      </c>
      <c r="H21" s="57" t="str">
        <f aca="false">IF(G21&gt;=0,"Sim","Não")</f>
        <v>Sim</v>
      </c>
    </row>
    <row r="22" customFormat="false" ht="15" hidden="false" customHeight="true" outlineLevel="0" collapsed="false">
      <c r="A22" s="51" t="n">
        <v>17</v>
      </c>
      <c r="B22" s="53" t="n">
        <f aca="false">'Fluxo de Caixa'!B22</f>
        <v>135853</v>
      </c>
      <c r="C22" s="53" t="n">
        <f aca="false">'Fluxo de Caixa'!C22</f>
        <v>65224.8444945791</v>
      </c>
      <c r="D22" s="53" t="n">
        <f aca="false">'Fluxo de Caixa'!D22</f>
        <v>45283.985</v>
      </c>
      <c r="E22" s="53" t="n">
        <f aca="false">'Fluxo de Caixa'!F22</f>
        <v>0</v>
      </c>
      <c r="F22" s="53" t="n">
        <f aca="false">'Fluxo de Caixa'!G22</f>
        <v>25344.1705054209</v>
      </c>
      <c r="G22" s="54" t="n">
        <f aca="false">G21+F22</f>
        <v>31924.9561673499</v>
      </c>
      <c r="H22" s="57" t="str">
        <f aca="false">IF(G22&gt;=0,"Sim","Não")</f>
        <v>Sim</v>
      </c>
    </row>
    <row r="23" customFormat="false" ht="15" hidden="false" customHeight="true" outlineLevel="0" collapsed="false">
      <c r="A23" s="51" t="n">
        <v>18</v>
      </c>
      <c r="B23" s="53" t="n">
        <f aca="false">'Fluxo de Caixa'!B23</f>
        <v>141841</v>
      </c>
      <c r="C23" s="53" t="n">
        <f aca="false">'Fluxo de Caixa'!C23</f>
        <v>67153.3020657306</v>
      </c>
      <c r="D23" s="53" t="n">
        <f aca="false">'Fluxo de Caixa'!D23</f>
        <v>46751.045</v>
      </c>
      <c r="E23" s="53" t="n">
        <f aca="false">'Fluxo de Caixa'!F23</f>
        <v>0</v>
      </c>
      <c r="F23" s="53" t="n">
        <f aca="false">'Fluxo de Caixa'!G23</f>
        <v>27936.6529342694</v>
      </c>
      <c r="G23" s="54" t="n">
        <f aca="false">G22+F23</f>
        <v>59861.6091016193</v>
      </c>
      <c r="H23" s="57" t="str">
        <f aca="false">IF(G23&gt;=0,"Sim","Não")</f>
        <v>Sim</v>
      </c>
    </row>
    <row r="24" customFormat="false" ht="15" hidden="false" customHeight="true" outlineLevel="0" collapsed="false">
      <c r="A24" s="51" t="n">
        <v>19</v>
      </c>
      <c r="B24" s="53" t="n">
        <f aca="false">'Fluxo de Caixa'!B24</f>
        <v>157826</v>
      </c>
      <c r="C24" s="53" t="n">
        <f aca="false">'Fluxo de Caixa'!C24</f>
        <v>75811.6387394652</v>
      </c>
      <c r="D24" s="53" t="n">
        <f aca="false">'Fluxo de Caixa'!D24</f>
        <v>50667.37</v>
      </c>
      <c r="E24" s="53" t="n">
        <f aca="false">'Fluxo de Caixa'!F24</f>
        <v>0</v>
      </c>
      <c r="F24" s="53" t="n">
        <f aca="false">'Fluxo de Caixa'!G24</f>
        <v>31346.9912605348</v>
      </c>
      <c r="G24" s="54" t="n">
        <f aca="false">G23+F24</f>
        <v>91208.6003621541</v>
      </c>
      <c r="H24" s="57" t="str">
        <f aca="false">IF(G24&gt;=0,"Sim","Não")</f>
        <v>Sim</v>
      </c>
    </row>
    <row r="25" customFormat="false" ht="15" hidden="false" customHeight="true" outlineLevel="0" collapsed="false">
      <c r="A25" s="51" t="n">
        <v>20</v>
      </c>
      <c r="B25" s="53" t="n">
        <f aca="false">'Fluxo de Caixa'!B25</f>
        <v>163814</v>
      </c>
      <c r="C25" s="53" t="n">
        <f aca="false">'Fluxo de Caixa'!C25</f>
        <v>77740.0405100071</v>
      </c>
      <c r="D25" s="53" t="n">
        <f aca="false">'Fluxo de Caixa'!D25</f>
        <v>52134.43</v>
      </c>
      <c r="E25" s="53" t="n">
        <f aca="false">'Fluxo de Caixa'!F25</f>
        <v>0</v>
      </c>
      <c r="F25" s="53" t="n">
        <f aca="false">'Fluxo de Caixa'!G25</f>
        <v>33939.5294899929</v>
      </c>
      <c r="G25" s="54" t="n">
        <f aca="false">G24+F25</f>
        <v>125148.129852147</v>
      </c>
      <c r="H25" s="57" t="str">
        <f aca="false">IF(G25&gt;=0,"Sim","Não")</f>
        <v>Sim</v>
      </c>
    </row>
    <row r="26" customFormat="false" ht="15" hidden="false" customHeight="true" outlineLevel="0" collapsed="false">
      <c r="A26" s="51" t="n">
        <v>21</v>
      </c>
      <c r="B26" s="53" t="n">
        <f aca="false">'Fluxo de Caixa'!B26</f>
        <v>169802</v>
      </c>
      <c r="C26" s="53" t="n">
        <f aca="false">'Fluxo de Caixa'!C26</f>
        <v>79602.5715986641</v>
      </c>
      <c r="D26" s="53" t="n">
        <f aca="false">'Fluxo de Caixa'!D26</f>
        <v>53601.49</v>
      </c>
      <c r="E26" s="53" t="n">
        <f aca="false">'Fluxo de Caixa'!F26</f>
        <v>0</v>
      </c>
      <c r="F26" s="53" t="n">
        <f aca="false">'Fluxo de Caixa'!G26</f>
        <v>36597.9384013359</v>
      </c>
      <c r="G26" s="54" t="n">
        <f aca="false">G25+F26</f>
        <v>161746.068253483</v>
      </c>
      <c r="H26" s="57" t="str">
        <f aca="false">IF(G26&gt;=0,"Sim","Não")</f>
        <v>Sim</v>
      </c>
    </row>
    <row r="27" customFormat="false" ht="15" hidden="false" customHeight="true" outlineLevel="0" collapsed="false">
      <c r="A27" s="51" t="n">
        <v>22</v>
      </c>
      <c r="B27" s="53" t="n">
        <f aca="false">'Fluxo de Caixa'!B27</f>
        <v>174293</v>
      </c>
      <c r="C27" s="53" t="n">
        <f aca="false">'Fluxo de Caixa'!C27</f>
        <v>81056.6611395252</v>
      </c>
      <c r="D27" s="53" t="n">
        <f aca="false">'Fluxo de Caixa'!D27</f>
        <v>54701.785</v>
      </c>
      <c r="E27" s="53" t="n">
        <f aca="false">'Fluxo de Caixa'!F27</f>
        <v>0</v>
      </c>
      <c r="F27" s="53" t="n">
        <f aca="false">'Fluxo de Caixa'!G27</f>
        <v>38534.5538604748</v>
      </c>
      <c r="G27" s="54" t="n">
        <f aca="false">G26+F27</f>
        <v>200280.622113958</v>
      </c>
      <c r="H27" s="57" t="str">
        <f aca="false">IF(G27&gt;=0,"Sim","Não")</f>
        <v>Sim</v>
      </c>
    </row>
    <row r="28" customFormat="false" ht="15" hidden="false" customHeight="true" outlineLevel="0" collapsed="false">
      <c r="A28" s="51" t="n">
        <v>23</v>
      </c>
      <c r="B28" s="53" t="n">
        <f aca="false">'Fluxo de Caixa'!B28</f>
        <v>153278</v>
      </c>
      <c r="C28" s="53" t="n">
        <f aca="false">'Fluxo de Caixa'!C28</f>
        <v>64025.6762055061</v>
      </c>
      <c r="D28" s="53" t="n">
        <f aca="false">'Fluxo de Caixa'!D28</f>
        <v>49553.11</v>
      </c>
      <c r="E28" s="53" t="n">
        <f aca="false">'Fluxo de Caixa'!F28</f>
        <v>0</v>
      </c>
      <c r="F28" s="53" t="n">
        <f aca="false">'Fluxo de Caixa'!G28</f>
        <v>39699.2137944939</v>
      </c>
      <c r="G28" s="54" t="n">
        <f aca="false">G27+F28</f>
        <v>239979.835908452</v>
      </c>
      <c r="H28" s="57" t="str">
        <f aca="false">IF(G28&gt;=0,"Sim","Não")</f>
        <v>Sim</v>
      </c>
    </row>
    <row r="29" customFormat="false" ht="15" hidden="false" customHeight="true" outlineLevel="0" collapsed="false">
      <c r="A29" s="51" t="n">
        <v>24</v>
      </c>
      <c r="B29" s="53" t="n">
        <f aca="false">'Fluxo de Caixa'!B29</f>
        <v>187766</v>
      </c>
      <c r="C29" s="53" t="n">
        <f aca="false">'Fluxo de Caixa'!C29</f>
        <v>85049.0946477491</v>
      </c>
      <c r="D29" s="53" t="n">
        <f aca="false">'Fluxo de Caixa'!D29</f>
        <v>58002.67</v>
      </c>
      <c r="E29" s="53" t="n">
        <f aca="false">'Fluxo de Caixa'!F29</f>
        <v>0</v>
      </c>
      <c r="F29" s="53" t="n">
        <f aca="false">'Fluxo de Caixa'!G29</f>
        <v>44714.2353522509</v>
      </c>
      <c r="G29" s="54" t="n">
        <f aca="false">G28+F29</f>
        <v>284694.071260702</v>
      </c>
      <c r="H29" s="57" t="str">
        <f aca="false">IF(G29&gt;=0,"Sim","Não")</f>
        <v>Sim</v>
      </c>
    </row>
    <row r="31" customFormat="false" ht="15" hidden="false" customHeight="true" outlineLevel="0" collapsed="false">
      <c r="A31" s="4" t="s">
        <v>248</v>
      </c>
      <c r="B31" s="49"/>
      <c r="C31" s="49"/>
      <c r="D31" s="49"/>
      <c r="E31" s="49"/>
      <c r="F31" s="49"/>
      <c r="G31" s="49"/>
    </row>
    <row r="32" customFormat="false" ht="15" hidden="false" customHeight="true" outlineLevel="0" collapsed="false">
      <c r="A32" s="3" t="s">
        <v>249</v>
      </c>
      <c r="F32" s="58" t="n">
        <f aca="false">MAX(0,-MIN(G5:G29))</f>
        <v>120917.625</v>
      </c>
      <c r="G32" s="59" t="s">
        <v>250</v>
      </c>
    </row>
    <row r="33" customFormat="false" ht="15" hidden="false" customHeight="true" outlineLevel="0" collapsed="false">
      <c r="A33" s="3" t="s">
        <v>251</v>
      </c>
      <c r="F33" s="60" t="n">
        <f aca="false">IFERROR(INDEX(A5:A29,MATCH("Sim",H5:H29,0)),"Não recupera")</f>
        <v>16</v>
      </c>
      <c r="G33" s="59" t="s">
        <v>252</v>
      </c>
    </row>
  </sheetData>
  <sheetProtection sheet="true"/>
  <conditionalFormatting sqref="G5:G29">
    <cfRule type="expression" priority="2" aboveAverage="0" equalAverage="0" bottom="0" percent="0" rank="0" text="" dxfId="0">
      <formula>G5&lt;0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20"/>
    <col collapsed="false" customWidth="true" hidden="false" outlineLevel="0" max="4" min="3" style="1" width="16"/>
    <col collapsed="false" customWidth="true" hidden="false" outlineLevel="0" max="5" min="5" style="1" width="20"/>
    <col collapsed="false" customWidth="true" hidden="false" outlineLevel="0" max="6" min="6" style="1" width="22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48" t="s">
        <v>253</v>
      </c>
      <c r="B1" s="49"/>
      <c r="C1" s="49"/>
      <c r="D1" s="49"/>
      <c r="E1" s="49"/>
      <c r="F1" s="49"/>
      <c r="G1" s="49"/>
    </row>
    <row r="2" customFormat="false" ht="15" hidden="false" customHeight="true" outlineLevel="0" collapsed="false">
      <c r="A2" s="50" t="s">
        <v>254</v>
      </c>
    </row>
    <row r="4" customFormat="false" ht="15" hidden="false" customHeight="true" outlineLevel="0" collapsed="false">
      <c r="A4" s="4" t="s">
        <v>255</v>
      </c>
      <c r="B4" s="49"/>
      <c r="C4" s="49"/>
      <c r="D4" s="49"/>
      <c r="E4" s="49"/>
      <c r="F4" s="49"/>
      <c r="G4" s="49"/>
    </row>
    <row r="5" customFormat="false" ht="15" hidden="false" customHeight="true" outlineLevel="0" collapsed="false">
      <c r="A5" s="3" t="s">
        <v>256</v>
      </c>
      <c r="B5" s="61" t="n">
        <f aca="false">'Premissas Precept'!B64</f>
        <v>0.24</v>
      </c>
      <c r="C5" s="59" t="s">
        <v>257</v>
      </c>
    </row>
    <row r="6" customFormat="false" ht="15" hidden="false" customHeight="true" outlineLevel="0" collapsed="false">
      <c r="A6" s="3" t="s">
        <v>258</v>
      </c>
      <c r="B6" s="62" t="s">
        <v>259</v>
      </c>
      <c r="C6" s="59" t="s">
        <v>260</v>
      </c>
    </row>
    <row r="7" customFormat="false" ht="15" hidden="false" customHeight="true" outlineLevel="0" collapsed="false">
      <c r="A7" s="3" t="s">
        <v>261</v>
      </c>
      <c r="B7" s="63" t="n">
        <f aca="false">IF(B6="Mensal",(1+B5)^(1/12)-1,B5)</f>
        <v>0.0180875824835107</v>
      </c>
      <c r="C7" s="59" t="s">
        <v>262</v>
      </c>
    </row>
    <row r="9" customFormat="false" ht="15" hidden="false" customHeight="true" outlineLevel="0" collapsed="false">
      <c r="A9" s="4" t="s">
        <v>263</v>
      </c>
      <c r="B9" s="49"/>
      <c r="C9" s="49"/>
      <c r="D9" s="49"/>
      <c r="E9" s="49"/>
      <c r="F9" s="49"/>
      <c r="G9" s="49"/>
    </row>
    <row r="10" customFormat="false" ht="31.5" hidden="false" customHeight="true" outlineLevel="0" collapsed="false">
      <c r="A10" s="18" t="s">
        <v>241</v>
      </c>
      <c r="B10" s="18" t="s">
        <v>264</v>
      </c>
      <c r="C10" s="18" t="s">
        <v>265</v>
      </c>
      <c r="D10" s="18" t="s">
        <v>266</v>
      </c>
      <c r="E10" s="18" t="s">
        <v>267</v>
      </c>
      <c r="F10" s="18" t="s">
        <v>268</v>
      </c>
    </row>
    <row r="11" customFormat="false" ht="15" hidden="false" customHeight="true" outlineLevel="0" collapsed="false">
      <c r="A11" s="51" t="n">
        <v>0</v>
      </c>
      <c r="B11" s="53" t="n">
        <f aca="false">'Fluxo de Caixa'!G5</f>
        <v>-102000</v>
      </c>
      <c r="C11" s="64" t="n">
        <f aca="false">1/(1+$B$7)^A11</f>
        <v>1</v>
      </c>
      <c r="D11" s="53" t="n">
        <f aca="false">B11*C11</f>
        <v>-102000</v>
      </c>
      <c r="E11" s="54" t="n">
        <f aca="false">D11</f>
        <v>-102000</v>
      </c>
      <c r="F11" s="57" t="str">
        <f aca="false">IF(E11&gt;=0,"Sim","Não")</f>
        <v>Não</v>
      </c>
    </row>
    <row r="12" customFormat="false" ht="15" hidden="false" customHeight="true" outlineLevel="0" collapsed="false">
      <c r="A12" s="51" t="n">
        <v>1</v>
      </c>
      <c r="B12" s="53" t="n">
        <f aca="false">'Fluxo de Caixa'!G6</f>
        <v>-7491.9</v>
      </c>
      <c r="C12" s="64" t="n">
        <f aca="false">1/(1+$B$7)^A12</f>
        <v>0.982233765744016</v>
      </c>
      <c r="D12" s="53" t="n">
        <f aca="false">B12*C12</f>
        <v>-7358.79714957759</v>
      </c>
      <c r="E12" s="54" t="n">
        <f aca="false">E11+D12</f>
        <v>-109358.797149578</v>
      </c>
      <c r="F12" s="57" t="str">
        <f aca="false">IF(E12&gt;=0,"Sim","Não")</f>
        <v>Não</v>
      </c>
    </row>
    <row r="13" customFormat="false" ht="15" hidden="false" customHeight="true" outlineLevel="0" collapsed="false">
      <c r="A13" s="51" t="n">
        <v>2</v>
      </c>
      <c r="B13" s="53" t="n">
        <f aca="false">'Fluxo de Caixa'!G7</f>
        <v>-5237.85</v>
      </c>
      <c r="C13" s="64" t="n">
        <f aca="false">1/(1+$B$7)^A13</f>
        <v>0.96478317056767</v>
      </c>
      <c r="D13" s="53" t="n">
        <f aca="false">B13*C13</f>
        <v>-5053.38952995787</v>
      </c>
      <c r="E13" s="54" t="n">
        <f aca="false">E12+D13</f>
        <v>-114412.186679535</v>
      </c>
      <c r="F13" s="57" t="str">
        <f aca="false">IF(E13&gt;=0,"Sim","Não")</f>
        <v>Não</v>
      </c>
    </row>
    <row r="14" customFormat="false" ht="15" hidden="false" customHeight="true" outlineLevel="0" collapsed="false">
      <c r="A14" s="51" t="n">
        <v>3</v>
      </c>
      <c r="B14" s="53" t="n">
        <f aca="false">'Fluxo de Caixa'!G8</f>
        <v>-1856.775</v>
      </c>
      <c r="C14" s="64" t="n">
        <f aca="false">1/(1+$B$7)^A14</f>
        <v>0.947642606753134</v>
      </c>
      <c r="D14" s="53" t="n">
        <f aca="false">B14*C14</f>
        <v>-1759.55910115405</v>
      </c>
      <c r="E14" s="54" t="n">
        <f aca="false">E13+D14</f>
        <v>-116171.74578069</v>
      </c>
      <c r="F14" s="57" t="str">
        <f aca="false">IF(E14&gt;=0,"Sim","Não")</f>
        <v>Não</v>
      </c>
    </row>
    <row r="15" customFormat="false" ht="15" hidden="false" customHeight="true" outlineLevel="0" collapsed="false">
      <c r="A15" s="51" t="n">
        <v>4</v>
      </c>
      <c r="B15" s="53" t="n">
        <f aca="false">'Fluxo de Caixa'!G9</f>
        <v>-3305.94</v>
      </c>
      <c r="C15" s="64" t="n">
        <f aca="false">1/(1+$B$7)^A15</f>
        <v>0.930806566210606</v>
      </c>
      <c r="D15" s="53" t="n">
        <f aca="false">B15*C15</f>
        <v>-3077.19065949829</v>
      </c>
      <c r="E15" s="54" t="n">
        <f aca="false">E14+D15</f>
        <v>-119248.936440188</v>
      </c>
      <c r="F15" s="57" t="str">
        <f aca="false">IF(E15&gt;=0,"Sim","Não")</f>
        <v>Não</v>
      </c>
    </row>
    <row r="16" customFormat="false" ht="15" hidden="false" customHeight="true" outlineLevel="0" collapsed="false">
      <c r="A16" s="51" t="n">
        <v>5</v>
      </c>
      <c r="B16" s="53" t="n">
        <f aca="false">'Fluxo de Caixa'!G10</f>
        <v>-1025.16</v>
      </c>
      <c r="C16" s="64" t="n">
        <f aca="false">1/(1+$B$7)^A16</f>
        <v>0.9142696387083</v>
      </c>
      <c r="D16" s="53" t="n">
        <f aca="false">B16*C16</f>
        <v>-937.272662818197</v>
      </c>
      <c r="E16" s="54" t="n">
        <f aca="false">E15+D16</f>
        <v>-120186.209103006</v>
      </c>
      <c r="F16" s="57" t="str">
        <f aca="false">IF(E16&gt;=0,"Sim","Não")</f>
        <v>Não</v>
      </c>
    </row>
    <row r="17" customFormat="false" ht="15" hidden="false" customHeight="true" outlineLevel="0" collapsed="false">
      <c r="A17" s="51" t="n">
        <v>6</v>
      </c>
      <c r="B17" s="53" t="n">
        <f aca="false">'Fluxo de Caixa'!G11</f>
        <v>3681.8810117295</v>
      </c>
      <c r="C17" s="64" t="n">
        <f aca="false">1/(1+$B$7)^A17</f>
        <v>0.898026510133874</v>
      </c>
      <c r="D17" s="53" t="n">
        <f aca="false">B17*C17</f>
        <v>3306.42675569162</v>
      </c>
      <c r="E17" s="54" t="n">
        <f aca="false">E16+D17</f>
        <v>-116879.782347314</v>
      </c>
      <c r="F17" s="57" t="str">
        <f aca="false">IF(E17&gt;=0,"Sim","Não")</f>
        <v>Não</v>
      </c>
    </row>
    <row r="18" customFormat="false" ht="15" hidden="false" customHeight="true" outlineLevel="0" collapsed="false">
      <c r="A18" s="51" t="n">
        <v>7</v>
      </c>
      <c r="B18" s="53" t="n">
        <f aca="false">'Fluxo de Caixa'!G12</f>
        <v>1576.26692115144</v>
      </c>
      <c r="C18" s="64" t="n">
        <f aca="false">1/(1+$B$7)^A18</f>
        <v>0.882071960786752</v>
      </c>
      <c r="D18" s="53" t="n">
        <f aca="false">B18*C18</f>
        <v>1390.38085386335</v>
      </c>
      <c r="E18" s="54" t="n">
        <f aca="false">E17+D18</f>
        <v>-115489.401493451</v>
      </c>
      <c r="F18" s="57" t="str">
        <f aca="false">IF(E18&gt;=0,"Sim","Não")</f>
        <v>Não</v>
      </c>
    </row>
    <row r="19" customFormat="false" ht="15" hidden="false" customHeight="true" outlineLevel="0" collapsed="false">
      <c r="A19" s="51" t="n">
        <v>8</v>
      </c>
      <c r="B19" s="53" t="n">
        <f aca="false">'Fluxo de Caixa'!G13</f>
        <v>6066.30539310299</v>
      </c>
      <c r="C19" s="64" t="n">
        <f aca="false">1/(1+$B$7)^A19</f>
        <v>0.866400863700779</v>
      </c>
      <c r="D19" s="53" t="n">
        <f aca="false">B19*C19</f>
        <v>5255.85223205712</v>
      </c>
      <c r="E19" s="54" t="n">
        <f aca="false">E18+D19</f>
        <v>-110233.549261394</v>
      </c>
      <c r="F19" s="57" t="str">
        <f aca="false">IF(E19&gt;=0,"Sim","Não")</f>
        <v>Não</v>
      </c>
    </row>
    <row r="20" customFormat="false" ht="15" hidden="false" customHeight="true" outlineLevel="0" collapsed="false">
      <c r="A20" s="51" t="n">
        <v>9</v>
      </c>
      <c r="B20" s="53" t="n">
        <f aca="false">'Fluxo de Caixa'!G14</f>
        <v>5361.84157510377</v>
      </c>
      <c r="C20" s="64" t="n">
        <f aca="false">1/(1+$B$7)^A20</f>
        <v>0.851008182996684</v>
      </c>
      <c r="D20" s="53" t="n">
        <f aca="false">B20*C20</f>
        <v>4562.97105634514</v>
      </c>
      <c r="E20" s="54" t="n">
        <f aca="false">E19+D20</f>
        <v>-105670.578205049</v>
      </c>
      <c r="F20" s="57" t="str">
        <f aca="false">IF(E20&gt;=0,"Sim","Não")</f>
        <v>Não</v>
      </c>
    </row>
    <row r="21" customFormat="false" ht="15" hidden="false" customHeight="true" outlineLevel="0" collapsed="false">
      <c r="A21" s="51" t="n">
        <v>10</v>
      </c>
      <c r="B21" s="53" t="n">
        <f aca="false">'Fluxo de Caixa'!G15</f>
        <v>9440.54290729983</v>
      </c>
      <c r="C21" s="64" t="n">
        <f aca="false">1/(1+$B$7)^A21</f>
        <v>0.835888972263805</v>
      </c>
      <c r="D21" s="53" t="n">
        <f aca="false">B21*C21</f>
        <v>7891.24570839521</v>
      </c>
      <c r="E21" s="54" t="n">
        <f aca="false">E20+D21</f>
        <v>-97779.3324966536</v>
      </c>
      <c r="F21" s="57" t="str">
        <f aca="false">IF(E21&gt;=0,"Sim","Não")</f>
        <v>Não</v>
      </c>
    </row>
    <row r="22" customFormat="false" ht="15" hidden="false" customHeight="true" outlineLevel="0" collapsed="false">
      <c r="A22" s="51" t="n">
        <v>11</v>
      </c>
      <c r="B22" s="53" t="n">
        <f aca="false">'Fluxo de Caixa'!G16</f>
        <v>8791.42710752508</v>
      </c>
      <c r="C22" s="64" t="n">
        <f aca="false">1/(1+$B$7)^A22</f>
        <v>0.821038372970573</v>
      </c>
      <c r="D22" s="53" t="n">
        <f aca="false">B22*C22</f>
        <v>7218.09900845178</v>
      </c>
      <c r="E22" s="54" t="n">
        <f aca="false">E21+D22</f>
        <v>-90561.2334882018</v>
      </c>
      <c r="F22" s="57" t="str">
        <f aca="false">IF(E22&gt;=0,"Sim","Não")</f>
        <v>Não</v>
      </c>
    </row>
    <row r="23" customFormat="false" ht="15" hidden="false" customHeight="true" outlineLevel="0" collapsed="false">
      <c r="A23" s="51" t="n">
        <v>12</v>
      </c>
      <c r="B23" s="53" t="n">
        <f aca="false">'Fluxo de Caixa'!G17</f>
        <v>12810.5591524393</v>
      </c>
      <c r="C23" s="64" t="n">
        <f aca="false">1/(1+$B$7)^A23</f>
        <v>0.806451612903225</v>
      </c>
      <c r="D23" s="53" t="n">
        <f aca="false">B23*C23</f>
        <v>10331.0960906769</v>
      </c>
      <c r="E23" s="54" t="n">
        <f aca="false">E22+D23</f>
        <v>-80230.1373975249</v>
      </c>
      <c r="F23" s="57" t="str">
        <f aca="false">IF(E23&gt;=0,"Sim","Não")</f>
        <v>Não</v>
      </c>
    </row>
    <row r="24" customFormat="false" ht="15" hidden="false" customHeight="true" outlineLevel="0" collapsed="false">
      <c r="A24" s="51" t="n">
        <v>13</v>
      </c>
      <c r="B24" s="53" t="n">
        <f aca="false">'Fluxo de Caixa'!G18</f>
        <v>16779.0561182948</v>
      </c>
      <c r="C24" s="64" t="n">
        <f aca="false">1/(1+$B$7)^A24</f>
        <v>0.79212400463227</v>
      </c>
      <c r="D24" s="53" t="n">
        <f aca="false">B24*C24</f>
        <v>13291.0931263733</v>
      </c>
      <c r="E24" s="54" t="n">
        <f aca="false">E23+D24</f>
        <v>-66939.0442711516</v>
      </c>
      <c r="F24" s="57" t="str">
        <f aca="false">IF(E24&gt;=0,"Sim","Não")</f>
        <v>Não</v>
      </c>
    </row>
    <row r="25" customFormat="false" ht="15" hidden="false" customHeight="true" outlineLevel="0" collapsed="false">
      <c r="A25" s="51" t="n">
        <v>14</v>
      </c>
      <c r="B25" s="53" t="n">
        <f aca="false">'Fluxo de Caixa'!G19</f>
        <v>18455.2616534388</v>
      </c>
      <c r="C25" s="64" t="n">
        <f aca="false">1/(1+$B$7)^A25</f>
        <v>0.778050944006185</v>
      </c>
      <c r="D25" s="53" t="n">
        <f aca="false">B25*C25</f>
        <v>14359.1337513392</v>
      </c>
      <c r="E25" s="54" t="n">
        <f aca="false">E24+D25</f>
        <v>-52579.9105198124</v>
      </c>
      <c r="F25" s="57" t="str">
        <f aca="false">IF(E25&gt;=0,"Sim","Não")</f>
        <v>Não</v>
      </c>
    </row>
    <row r="26" customFormat="false" ht="15" hidden="false" customHeight="true" outlineLevel="0" collapsed="false">
      <c r="A26" s="51" t="n">
        <v>15</v>
      </c>
      <c r="B26" s="53" t="n">
        <f aca="false">'Fluxo de Caixa'!G20</f>
        <v>21030.2428462481</v>
      </c>
      <c r="C26" s="64" t="n">
        <f aca="false">1/(1+$B$7)^A26</f>
        <v>0.764227908671882</v>
      </c>
      <c r="D26" s="53" t="n">
        <f aca="false">B26*C26</f>
        <v>16071.89850925</v>
      </c>
      <c r="E26" s="54" t="n">
        <f aca="false">E25+D26</f>
        <v>-36508.0120105624</v>
      </c>
      <c r="F26" s="57" t="str">
        <f aca="false">IF(E26&gt;=0,"Sim","Não")</f>
        <v>Não</v>
      </c>
    </row>
    <row r="27" customFormat="false" ht="15" hidden="false" customHeight="true" outlineLevel="0" collapsed="false">
      <c r="A27" s="51" t="n">
        <v>16</v>
      </c>
      <c r="B27" s="53" t="n">
        <f aca="false">'Fluxo de Caixa'!G21</f>
        <v>23505.0259755953</v>
      </c>
      <c r="C27" s="64" t="n">
        <f aca="false">1/(1+$B$7)^A27</f>
        <v>0.750650456621456</v>
      </c>
      <c r="D27" s="53" t="n">
        <f aca="false">B27*C27</f>
        <v>17644.0584814798</v>
      </c>
      <c r="E27" s="54" t="n">
        <f aca="false">E26+D27</f>
        <v>-18863.9535290826</v>
      </c>
      <c r="F27" s="57" t="str">
        <f aca="false">IF(E27&gt;=0,"Sim","Não")</f>
        <v>Não</v>
      </c>
    </row>
    <row r="28" customFormat="false" ht="15" hidden="false" customHeight="true" outlineLevel="0" collapsed="false">
      <c r="A28" s="51" t="n">
        <v>17</v>
      </c>
      <c r="B28" s="53" t="n">
        <f aca="false">'Fluxo de Caixa'!G22</f>
        <v>25344.1705054209</v>
      </c>
      <c r="C28" s="64" t="n">
        <f aca="false">1/(1+$B$7)^A28</f>
        <v>0.737314224764758</v>
      </c>
      <c r="D28" s="53" t="n">
        <f aca="false">B28*C28</f>
        <v>18686.6174285102</v>
      </c>
      <c r="E28" s="54" t="n">
        <f aca="false">E27+D28</f>
        <v>-177.336100572378</v>
      </c>
      <c r="F28" s="57" t="str">
        <f aca="false">IF(E28&gt;=0,"Sim","Não")</f>
        <v>Não</v>
      </c>
    </row>
    <row r="29" customFormat="false" ht="15" hidden="false" customHeight="true" outlineLevel="0" collapsed="false">
      <c r="A29" s="51" t="n">
        <v>18</v>
      </c>
      <c r="B29" s="53" t="n">
        <f aca="false">'Fluxo de Caixa'!G23</f>
        <v>27936.6529342694</v>
      </c>
      <c r="C29" s="64" t="n">
        <f aca="false">1/(1+$B$7)^A29</f>
        <v>0.724214927527318</v>
      </c>
      <c r="D29" s="53" t="n">
        <f aca="false">B29*C29</f>
        <v>20232.1410801477</v>
      </c>
      <c r="E29" s="54" t="n">
        <f aca="false">E28+D29</f>
        <v>20054.8049795754</v>
      </c>
      <c r="F29" s="57" t="str">
        <f aca="false">IF(E29&gt;=0,"Sim","Não")</f>
        <v>Sim</v>
      </c>
    </row>
    <row r="30" customFormat="false" ht="15" hidden="false" customHeight="true" outlineLevel="0" collapsed="false">
      <c r="A30" s="51" t="n">
        <v>19</v>
      </c>
      <c r="B30" s="53" t="n">
        <f aca="false">'Fluxo de Caixa'!G24</f>
        <v>31346.9912605348</v>
      </c>
      <c r="C30" s="64" t="n">
        <f aca="false">1/(1+$B$7)^A30</f>
        <v>0.711348355473187</v>
      </c>
      <c r="D30" s="53" t="n">
        <f aca="false">B30*C30</f>
        <v>22298.6306822138</v>
      </c>
      <c r="E30" s="54" t="n">
        <f aca="false">E29+D30</f>
        <v>42353.4356617891</v>
      </c>
      <c r="F30" s="57" t="str">
        <f aca="false">IF(E30&gt;=0,"Sim","Não")</f>
        <v>Sim</v>
      </c>
    </row>
    <row r="31" customFormat="false" ht="15" hidden="false" customHeight="true" outlineLevel="0" collapsed="false">
      <c r="A31" s="51" t="n">
        <v>20</v>
      </c>
      <c r="B31" s="53" t="n">
        <f aca="false">'Fluxo de Caixa'!G25</f>
        <v>33939.5294899929</v>
      </c>
      <c r="C31" s="64" t="n">
        <f aca="false">1/(1+$B$7)^A31</f>
        <v>0.698710373952241</v>
      </c>
      <c r="D31" s="53" t="n">
        <f aca="false">B31*C31</f>
        <v>23713.9013417161</v>
      </c>
      <c r="E31" s="54" t="n">
        <f aca="false">E30+D31</f>
        <v>66067.3370035052</v>
      </c>
      <c r="F31" s="57" t="str">
        <f aca="false">IF(E31&gt;=0,"Sim","Não")</f>
        <v>Sim</v>
      </c>
    </row>
    <row r="32" customFormat="false" ht="15" hidden="false" customHeight="true" outlineLevel="0" collapsed="false">
      <c r="A32" s="51" t="n">
        <v>21</v>
      </c>
      <c r="B32" s="53" t="n">
        <f aca="false">'Fluxo de Caixa'!G26</f>
        <v>36597.9384013359</v>
      </c>
      <c r="C32" s="64" t="n">
        <f aca="false">1/(1+$B$7)^A32</f>
        <v>0.686296921771519</v>
      </c>
      <c r="D32" s="53" t="n">
        <f aca="false">B32*C32</f>
        <v>25117.0524680205</v>
      </c>
      <c r="E32" s="54" t="n">
        <f aca="false">E31+D32</f>
        <v>91184.3894715257</v>
      </c>
      <c r="F32" s="57" t="str">
        <f aca="false">IF(E32&gt;=0,"Sim","Não")</f>
        <v>Sim</v>
      </c>
    </row>
    <row r="33" customFormat="false" ht="15" hidden="false" customHeight="true" outlineLevel="0" collapsed="false">
      <c r="A33" s="51" t="n">
        <v>22</v>
      </c>
      <c r="B33" s="53" t="n">
        <f aca="false">'Fluxo de Caixa'!G27</f>
        <v>38534.5538604748</v>
      </c>
      <c r="C33" s="64" t="n">
        <f aca="false">1/(1+$B$7)^A33</f>
        <v>0.674104009890165</v>
      </c>
      <c r="D33" s="53" t="n">
        <f aca="false">B33*C33</f>
        <v>25976.2972766746</v>
      </c>
      <c r="E33" s="54" t="n">
        <f aca="false">E32+D33</f>
        <v>117160.6867482</v>
      </c>
      <c r="F33" s="57" t="str">
        <f aca="false">IF(E33&gt;=0,"Sim","Não")</f>
        <v>Sim</v>
      </c>
    </row>
    <row r="34" customFormat="false" ht="15" hidden="false" customHeight="true" outlineLevel="0" collapsed="false">
      <c r="A34" s="51" t="n">
        <v>23</v>
      </c>
      <c r="B34" s="53" t="n">
        <f aca="false">'Fluxo de Caixa'!G28</f>
        <v>39699.2137944939</v>
      </c>
      <c r="C34" s="64" t="n">
        <f aca="false">1/(1+$B$7)^A34</f>
        <v>0.662127720137558</v>
      </c>
      <c r="D34" s="53" t="n">
        <f aca="false">B34*C34</f>
        <v>26285.9499210018</v>
      </c>
      <c r="E34" s="54" t="n">
        <f aca="false">E33+D34</f>
        <v>143446.636669202</v>
      </c>
      <c r="F34" s="57" t="str">
        <f aca="false">IF(E34&gt;=0,"Sim","Não")</f>
        <v>Sim</v>
      </c>
    </row>
    <row r="35" customFormat="false" ht="15" hidden="false" customHeight="true" outlineLevel="0" collapsed="false">
      <c r="A35" s="51" t="n">
        <v>24</v>
      </c>
      <c r="B35" s="53" t="n">
        <f aca="false">'Fluxo de Caixa'!G29</f>
        <v>44714.2353522509</v>
      </c>
      <c r="C35" s="64" t="n">
        <f aca="false">1/(1+$B$7)^A35</f>
        <v>0.650364203954214</v>
      </c>
      <c r="D35" s="53" t="n">
        <f aca="false">B35*C35</f>
        <v>29080.538080288</v>
      </c>
      <c r="E35" s="54" t="n">
        <f aca="false">E34+D35</f>
        <v>172527.17474949</v>
      </c>
      <c r="F35" s="57" t="str">
        <f aca="false">IF(E35&gt;=0,"Sim","Não")</f>
        <v>Sim</v>
      </c>
    </row>
    <row r="37" customFormat="false" ht="15" hidden="false" customHeight="true" outlineLevel="0" collapsed="false">
      <c r="A37" s="4" t="s">
        <v>269</v>
      </c>
      <c r="B37" s="49"/>
      <c r="C37" s="49"/>
      <c r="D37" s="49"/>
      <c r="E37" s="49"/>
      <c r="F37" s="49"/>
      <c r="G37" s="49"/>
    </row>
    <row r="38" customFormat="false" ht="15" hidden="false" customHeight="true" outlineLevel="0" collapsed="false">
      <c r="A38" s="3" t="s">
        <v>270</v>
      </c>
      <c r="B38" s="65" t="n">
        <f aca="false">SUM(D11:D35)</f>
        <v>172527.17474949</v>
      </c>
      <c r="C38" s="66" t="str">
        <f aca="false">IF(B38&gt;0,"VIÁVEL: o projeto gera mais do que a taxa exigida",IF(B38&lt;0,"INVIÁVEL: o projeto rende menos que a taxa exigida","EQUILÍBRIO: rende exatamente a taxa exigida"))</f>
        <v>VIÁVEL: o projeto gera mais do que a taxa exigida</v>
      </c>
    </row>
    <row r="39" customFormat="false" ht="15" hidden="false" customHeight="true" outlineLevel="0" collapsed="false">
      <c r="A39" s="3" t="s">
        <v>271</v>
      </c>
      <c r="B39" s="67" t="n">
        <f aca="false">IFERROR(IRR(B11:B35),"Não calculável")</f>
        <v>0.0723318613275063</v>
      </c>
      <c r="C39" s="66" t="str">
        <f aca="false">IF(ISNUMBER(B39),IF(B39&gt;B7,"VIÁVEL: TIR maior que a taxa de desconto","INVIÁVEL: TIR menor ou igual à taxa de desconto"),"Sem TIR: o fluxo precisa ter valores negativos E positivos")</f>
        <v>VIÁVEL: TIR maior que a taxa de desconto</v>
      </c>
    </row>
    <row r="40" customFormat="false" ht="15" hidden="false" customHeight="true" outlineLevel="0" collapsed="false">
      <c r="A40" s="3" t="s">
        <v>272</v>
      </c>
      <c r="B40" s="67" t="n">
        <f aca="false">IF(ISNUMBER(B39),IF(B6="Mensal",(1+B39)^12-1,B39),"Não calculável")</f>
        <v>1.31180138851585</v>
      </c>
      <c r="C40" s="66" t="str">
        <f aca="false">"Compare com a taxa anual de "&amp;ROUND(B5*100,2)&amp;"%"</f>
        <v>Compare com a taxa anual de 24%</v>
      </c>
    </row>
    <row r="41" customFormat="false" ht="15" hidden="false" customHeight="true" outlineLevel="0" collapsed="false">
      <c r="A41" s="3" t="s">
        <v>273</v>
      </c>
      <c r="B41" s="65" t="n">
        <f aca="false">'Fluxo de Caixa'!F5</f>
        <v>102000</v>
      </c>
      <c r="C41" s="66" t="str">
        <f aca="false">IF(B41=0,"Atenção: informe o investimento no período 0 da aba Fluxo de Caixa","")</f>
        <v/>
      </c>
    </row>
    <row r="42" customFormat="false" ht="15" hidden="false" customHeight="true" outlineLevel="0" collapsed="false">
      <c r="A42" s="3" t="s">
        <v>274</v>
      </c>
      <c r="B42" s="67" t="n">
        <f aca="false">IF(B41=0,"-",B38/B41)</f>
        <v>1.69144288970088</v>
      </c>
      <c r="C42" s="66" t="str">
        <f aca="false">"Para cada R$ 100 de investimento inicial, o projeto gera R$ "&amp;IF(ISNUMBER(B42),ROUND(B42*100,2),"-")&amp;" de VPL acima da taxa exigida"</f>
        <v>Para cada R$ 100 de investimento inicial, o projeto gera R$ 169.14 de VPL acima da taxa exigida</v>
      </c>
    </row>
    <row r="43" customFormat="false" ht="15" hidden="false" customHeight="true" outlineLevel="0" collapsed="false">
      <c r="A43" s="3" t="s">
        <v>251</v>
      </c>
      <c r="B43" s="68" t="n">
        <f aca="false">'Necessidade de Caixa e Payback'!F33</f>
        <v>16</v>
      </c>
      <c r="C43" s="66" t="str">
        <f aca="false">"Período em que o saldo acumulado (sem descontar) fica positivo"</f>
        <v>Período em que o saldo acumulado (sem descontar) fica positivo</v>
      </c>
    </row>
    <row r="44" customFormat="false" ht="15" hidden="false" customHeight="true" outlineLevel="0" collapsed="false">
      <c r="A44" s="3" t="s">
        <v>275</v>
      </c>
      <c r="B44" s="68" t="n">
        <f aca="false">IFERROR(INDEX(A11:A35,MATCH("Sim",F11:F35,0)),"Não recupera")</f>
        <v>18</v>
      </c>
      <c r="C44" s="66" t="str">
        <f aca="false">"Período em que o VP acumulado fica positivo"</f>
        <v>Período em que o VP acumulado fica positivo</v>
      </c>
    </row>
    <row r="45" customFormat="false" ht="15" hidden="false" customHeight="true" outlineLevel="0" collapsed="false">
      <c r="A45" s="3" t="s">
        <v>276</v>
      </c>
      <c r="B45" s="65" t="n">
        <f aca="false">'Necessidade de Caixa e Payback'!F32</f>
        <v>120917.625</v>
      </c>
      <c r="C45" s="66" t="str">
        <f aca="false">"Dinheiro que os sócios precisam ter para cobrir o pior momento"</f>
        <v>Dinheiro que os sócios precisam ter para cobrir o pior momento</v>
      </c>
    </row>
    <row r="47" customFormat="false" ht="15" hidden="false" customHeight="true" outlineLevel="0" collapsed="false">
      <c r="A47" s="4" t="s">
        <v>277</v>
      </c>
      <c r="B47" s="49"/>
      <c r="C47" s="49"/>
      <c r="D47" s="49"/>
      <c r="E47" s="49"/>
      <c r="F47" s="49"/>
      <c r="G47" s="49"/>
    </row>
    <row r="48" customFormat="false" ht="15" hidden="false" customHeight="true" outlineLevel="0" collapsed="false">
      <c r="A48" s="69" t="s">
        <v>278</v>
      </c>
    </row>
    <row r="49" customFormat="false" ht="15" hidden="false" customHeight="true" outlineLevel="0" collapsed="false">
      <c r="A49" s="69" t="s">
        <v>279</v>
      </c>
    </row>
    <row r="50" customFormat="false" ht="15" hidden="false" customHeight="true" outlineLevel="0" collapsed="false">
      <c r="A50" s="69" t="s">
        <v>280</v>
      </c>
    </row>
    <row r="51" customFormat="false" ht="15" hidden="false" customHeight="true" outlineLevel="0" collapsed="false">
      <c r="A51" s="69" t="s">
        <v>281</v>
      </c>
    </row>
    <row r="52" customFormat="false" ht="15" hidden="false" customHeight="true" outlineLevel="0" collapsed="false">
      <c r="A52" s="69" t="s">
        <v>282</v>
      </c>
    </row>
    <row r="53" customFormat="false" ht="15" hidden="false" customHeight="true" outlineLevel="0" collapsed="false">
      <c r="A53" s="69" t="s">
        <v>283</v>
      </c>
    </row>
  </sheetData>
  <sheetProtection sheet="true"/>
  <conditionalFormatting sqref="E11:E35">
    <cfRule type="expression" priority="2" aboveAverage="0" equalAverage="0" bottom="0" percent="0" rank="0" text="" dxfId="0">
      <formula>E11&lt;0</formula>
    </cfRule>
  </conditionalFormatting>
  <conditionalFormatting sqref="C38">
    <cfRule type="expression" priority="3" aboveAverage="0" equalAverage="0" bottom="0" percent="0" rank="0" text="" dxfId="1">
      <formula>LEFT($C$38,6)="VIÁVEL"</formula>
    </cfRule>
    <cfRule type="expression" priority="4" aboveAverage="0" equalAverage="0" bottom="0" percent="0" rank="0" text="" dxfId="2">
      <formula>LEFT($C$38,8)="INVIÁVEL"</formula>
    </cfRule>
  </conditionalFormatting>
  <conditionalFormatting sqref="C39">
    <cfRule type="expression" priority="5" aboveAverage="0" equalAverage="0" bottom="0" percent="0" rank="0" text="" dxfId="1">
      <formula>LEFT($C$39,6)="VIÁVEL"</formula>
    </cfRule>
    <cfRule type="expression" priority="6" aboveAverage="0" equalAverage="0" bottom="0" percent="0" rank="0" text="" dxfId="2">
      <formula>LEFT($C$39,8)="INVIÁVEL"</formula>
    </cfRule>
  </conditionalFormatting>
  <conditionalFormatting sqref="C41">
    <cfRule type="expression" priority="7" aboveAverage="0" equalAverage="0" bottom="0" percent="0" rank="0" text="" dxfId="3">
      <formula>LEN($C$41)&gt;0</formula>
    </cfRule>
  </conditionalFormatting>
  <dataValidations count="2">
    <dataValidation allowBlank="false" error="Escolha Mensal ou Anual." errorStyle="stop" errorTitle="Valor inválido" operator="between" showDropDown="false" showErrorMessage="true" showInputMessage="false" sqref="B6" type="list">
      <formula1>"Mensal,Anual"</formula1>
      <formula2>0</formula2>
    </dataValidation>
    <dataValidation allowBlank="false" error="Digite a taxa com o símbolo %, por exemplo 15%. O valor deve estar entre 0% e 100% ao ano." errorStyle="stop" errorTitle="Taxa inválida" operator="between" prompt="Digite com o símbolo %: ex. 15%" promptTitle="Taxa anual" showDropDown="false" showErrorMessage="true" showInputMessage="true" sqref="B5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2026-10-06T22:56:11Z</dcterms:created>
  <dc:creator>openpyxl</dc:creator>
  <dc:description/>
  <dc:language>en-US</dc:language>
  <cp:lastModifiedBy/>
  <dcterms:modified xsi:type="dcterms:W3CDTF">2026-10-07T13:04:19Z</dcterms:modified>
  <cp:revision>0</cp:revision>
  <dc:subject/>
  <dc:title>Precept – Planilha Financeira (VPL, TIR e Payback)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ude.handoff">
    <vt:lpwstr>QE7_ATwDaE3lVnAA0nKYXgI9mCHbLuj4aSfINcxKQ6o</vt:lpwstr>
  </property>
</Properties>
</file>