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emissas Precept" sheetId="2" state="visible" r:id="rId4"/>
    <sheet name="Projeção Mensal" sheetId="3" state="visible" r:id="rId5"/>
    <sheet name="Mercado TAM SAM SOM" sheetId="4" state="visible" r:id="rId6"/>
    <sheet name="Fluxo de Caixa" sheetId="5" state="visible" r:id="rId7"/>
    <sheet name="Necessidade de Caixa e Payback" sheetId="6" state="visible" r:id="rId8"/>
    <sheet name="VPL e TI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Receita total do período: preço de venda × quantidade vendida.</t>
        </r>
      </text>
    </comment>
    <comment ref="C4" authorId="0">
      <text>
        <r>
          <rPr>
            <sz val="10"/>
            <rFont val="Arial"/>
            <family val="2"/>
          </rPr>
          <t xml:space="preserve">Custos que aumentam quando as vendas aumentam: matéria-prima, embalagem, comissões, impostos sobre a venda, taxas de cartão.</t>
        </r>
      </text>
    </comment>
    <comment ref="D4" authorId="0">
      <text>
        <r>
          <rPr>
            <sz val="10"/>
            <rFont val="Arial"/>
            <family val="2"/>
          </rPr>
          <t xml:space="preserve">Custos que existem mesmo sem vender: aluguel, salários, pró-labore, internet, contador.</t>
        </r>
      </text>
    </comment>
    <comment ref="E4" authorId="0">
      <text>
        <r>
          <rPr>
            <sz val="10"/>
            <rFont val="Arial"/>
            <family val="2"/>
          </rPr>
          <t xml:space="preserve">Automático: Vendas − Despesas variáveis − Despesas fixas. Mostra se a operação do mês dá lucro ou prejuízo.</t>
        </r>
      </text>
    </comment>
    <comment ref="F4" authorId="0">
      <text>
        <r>
          <rPr>
            <sz val="10"/>
            <rFont val="Arial"/>
            <family val="2"/>
          </rPr>
          <t xml:space="preserve">Gastos para montar ou ampliar o negócio. O investimento inicial vai no período 0. Novos investimentos podem entrar em qualquer período.</t>
        </r>
      </text>
    </comment>
    <comment ref="G4" authorId="0">
      <text>
        <r>
          <rPr>
            <sz val="10"/>
            <rFont val="Arial"/>
            <family val="2"/>
          </rPr>
          <t xml:space="preserve">Automático: Resultado operacional − Investimentos. É o valor usado no VPL e na TIR.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Copiado da aba Fluxo de Caixa.</t>
        </r>
      </text>
    </comment>
    <comment ref="G4" authorId="0">
      <text>
        <r>
          <rPr>
            <sz val="10"/>
            <rFont val="Arial"/>
            <family val="2"/>
          </rPr>
          <t xml:space="preserve">Soma de todos os fluxos até este período. Negativo = os sócios ainda estão bancando o negócio.</t>
        </r>
      </text>
    </comment>
    <comment ref="H4" authorId="0">
      <text>
        <r>
          <rPr>
            <sz val="10"/>
            <rFont val="Arial"/>
            <family val="2"/>
          </rPr>
          <t xml:space="preserve">"Sim" a partir do período em que o saldo acumulado fica ≥ 0.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Copiado da coluna Fluxo de Caixa Líquido.</t>
        </r>
      </text>
    </comment>
    <comment ref="C10" authorId="0">
      <text>
        <r>
          <rPr>
            <sz val="10"/>
            <rFont val="Arial"/>
            <family val="2"/>
          </rPr>
          <t xml:space="preserve">1 / (1 + taxa por período)^período. Quanto R$ 1 recebido neste período vale hoje.</t>
        </r>
      </text>
    </comment>
    <comment ref="D10" authorId="0">
      <text>
        <r>
          <rPr>
            <sz val="10"/>
            <rFont val="Arial"/>
            <family val="2"/>
          </rPr>
          <t xml:space="preserve">Fluxo × Fator de desconto: o valor do fluxo em dinheiro de hoje.</t>
        </r>
      </text>
    </comment>
    <comment ref="E10" authorId="0">
      <text>
        <r>
          <rPr>
            <sz val="10"/>
            <rFont val="Arial"/>
            <family val="2"/>
          </rPr>
          <t xml:space="preserve">Soma dos valores presentes até o período. Quando fica ≥ 0, o investimento foi recuperado já considerando a taxa.</t>
        </r>
      </text>
    </comment>
    <comment ref="F10" authorId="0">
      <text>
        <r>
          <rPr>
            <sz val="10"/>
            <rFont val="Arial"/>
            <family val="2"/>
          </rPr>
          <t xml:space="preserve">"Sim" a partir do período em que o VP acumulado fica ≥ 0.</t>
        </r>
      </text>
    </comment>
  </commentList>
</comments>
</file>

<file path=xl/sharedStrings.xml><?xml version="1.0" encoding="utf-8"?>
<sst xmlns="http://schemas.openxmlformats.org/spreadsheetml/2006/main" count="356" uniqueCount="341">
  <si>
    <t xml:space="preserve">PLANILHA DE ANÁLISE FINANCEIRA – VPL, TIR E PAYBACK</t>
  </si>
  <si>
    <t xml:space="preserve">Viabilidade de projetos empreendedores – Projetos Empreendedores, Mackenzie</t>
  </si>
  <si>
    <t xml:space="preserve">PASSO A PASSO</t>
  </si>
  <si>
    <t xml:space="preserve">1. Aba Fluxo de Caixa: preencha SÓ as células CINZAS (vendas, despesas e investimentos de cada período).</t>
  </si>
  <si>
    <t xml:space="preserve">2. Período 0 = hoje, antes de começar a vender. Coloque ali o investimento inicial (equipamentos, reforma, abertura da empresa etc.).</t>
  </si>
  <si>
    <t xml:space="preserve">3. Períodos 1 a 24 = meses (ou anos) de operação. Se o projeto durar menos, deixe os períodos restantes em branco.</t>
  </si>
  <si>
    <t xml:space="preserve">4. Aba VPL e TIR: informe a taxa de desconto ANUAL e se os períodos são meses ou anos. A planilha converte a taxa sozinha.</t>
  </si>
  <si>
    <t xml:space="preserve">5. Leia os resultados (VPL, TIR, payback) e a frase de decisão. Células AZUIS são automáticas e estão protegidas.</t>
  </si>
  <si>
    <t xml:space="preserve">LEGENDA DE CORES</t>
  </si>
  <si>
    <t xml:space="preserve">Cinza = você preenche   |   Azul = cálculo automático   |   Amarelo = resultado principal   |   Verde/vermelho = viável/inviável</t>
  </si>
  <si>
    <t xml:space="preserve">Passe o mouse sobre os títulos das colunas para ver a explicação de cada uma.</t>
  </si>
  <si>
    <t xml:space="preserve">GLOSSÁRIO</t>
  </si>
  <si>
    <t xml:space="preserve">Vendas brutas: tudo o que entra com a venda dos produtos/serviços no período (preço × quantidade).</t>
  </si>
  <si>
    <t xml:space="preserve">Despesas variáveis: custos que crescem com as vendas (matéria-prima, embalagem, comissão, impostos sobre a venda, taxa de cartão).</t>
  </si>
  <si>
    <t xml:space="preserve">Despesas fixas: custos que existem mesmo sem vender (aluguel, salários, internet, contador, pró-labore).</t>
  </si>
  <si>
    <t xml:space="preserve">Investimento: gasto para montar ou ampliar o negócio (máquinas, reforma, estoque inicial, capital de giro inicial).</t>
  </si>
  <si>
    <t xml:space="preserve">Fluxo de caixa líquido: Vendas − Despesas variáveis − Despesas fixas − Investimento. É o dinheiro que sobra (ou falta) no período.</t>
  </si>
  <si>
    <t xml:space="preserve">Taxa de desconto (TMA): retorno mínimo que vocês exigem do projeto. Referência prática: rendimento de uma aplicação segura (ex.: Selic/CDI) + um prêmio pelo risco.</t>
  </si>
  <si>
    <t xml:space="preserve">VPL (Valor Presente Líquido): soma de todos os fluxos trazidos para o valor de hoje. VPL &gt; 0 → o projeto rende mais que a taxa exigida → VIÁVEL.</t>
  </si>
  <si>
    <t xml:space="preserve">TIR (Taxa Interna de Retorno): a taxa que zera o VPL. TIR &gt; taxa de desconto → VIÁVEL. Só existe se o fluxo tiver valores negativos e positivos.</t>
  </si>
  <si>
    <t xml:space="preserve">Payback simples: primeiro período (mês ou ano inteiro) em que o saldo acumulado deixa de ser negativo — o investimento foi recuperado.</t>
  </si>
  <si>
    <t xml:space="preserve">Payback descontado: o mesmo, mas usando os valores já descontados pela taxa. É mais rigoroso e sempre igual ou maior que o simples.</t>
  </si>
  <si>
    <t xml:space="preserve">Necessidade máxima de caixa: o pior saldo acumulado. É quanto dinheiro os sócios precisam ter disponível para o negócio não quebrar.</t>
  </si>
  <si>
    <t xml:space="preserve">CUIDADOS</t>
  </si>
  <si>
    <t xml:space="preserve">• A taxa deve ser coerente com o período: fluxo mensal usa taxa mensal. Por isso você digita a taxa anual e a planilha converte.</t>
  </si>
  <si>
    <t xml:space="preserve">• Use valores realistas e justifique de onde vieram (pesquisa de preço, orçamento de fornecedor, dados de mercado).</t>
  </si>
  <si>
    <t xml:space="preserve">• Teste cenários: pessimista, provável e otimista. Salve uma cópia do arquivo para cada cenário.</t>
  </si>
  <si>
    <t xml:space="preserve">• Os valores que já vêm na planilha são apenas EXEMPLO. Substitua pelos dados do seu projeto.</t>
  </si>
  <si>
    <t xml:space="preserve">PREMISSAS DA PRECEPT – BASE DA FICHA DE LEVANTAMENTO FINANCEIRO</t>
  </si>
  <si>
    <t xml:space="preserve">Células CINZAS = premissas (podem ser alteradas para testar cenários). Células AZUIS = cálculo automático. Tudo aqui alimenta a aba Projeção Mensal, que alimenta a aba Fluxo de Caixa.</t>
  </si>
  <si>
    <t xml:space="preserve">1. PREÇOS E RECEITA</t>
  </si>
  <si>
    <t xml:space="preserve">Precept Core – assinatura mensal (R$/mês)</t>
  </si>
  <si>
    <t xml:space="preserve">Preço único definido pelo grupo, com 5 licenças incluídas (1 master + 4 dependentes). Referência de mercado: ADVBOX R$ 220–1.800/mês (Big Offices a partir de R$ 5.000); Astrea R$ 209–1.249/mês (sites oficiais, out/2026).</t>
  </si>
  <si>
    <t xml:space="preserve">Licenças incluídas por assinatura</t>
  </si>
  <si>
    <t xml:space="preserve">1 acesso master + 4 dependentes.</t>
  </si>
  <si>
    <t xml:space="preserve">Licença extra (R$/mês)</t>
  </si>
  <si>
    <t xml:space="preserve">Política de preço do grupo. Para simplificar, não entra na projeção: é receita adicional não contada (o modelo fica conservador).</t>
  </si>
  <si>
    <t xml:space="preserve">Ticket do Core usado na projeção (R$/mês)</t>
  </si>
  <si>
    <t xml:space="preserve">Igual ao preço da assinatura.</t>
  </si>
  <si>
    <t xml:space="preserve">Precept Sprint – planejamento de 7 dias (R$ por imersão)</t>
  </si>
  <si>
    <t xml:space="preserve">Preço definido pelo grupo: planejamento estratégico e tático em 7 dias imersivos. Recebido no mês da venda (Pix ou cartão).</t>
  </si>
  <si>
    <t xml:space="preserve">Precept Scale – implementação (R$ por projeto)</t>
  </si>
  <si>
    <t xml:space="preserve">Preço proposto: 3× o Sprint, equivalente a ~R$ 5 mil por mês de entrega, abaixo de consultorias de gestão para PMEs (R$ 8–15 mil/mês). Recebido no mês da venda (Pix ou cartão).</t>
  </si>
  <si>
    <t xml:space="preserve">Duração da implementação do Scale (meses)</t>
  </si>
  <si>
    <t xml:space="preserve">Entrega em 6 meses, 1 pilar implementado por mês. O pagamento não depende da duração.</t>
  </si>
  <si>
    <t xml:space="preserve">Recebimento do Sprint e do Scale</t>
  </si>
  <si>
    <t xml:space="preserve">Mês da venda</t>
  </si>
  <si>
    <t xml:space="preserve">Valor cheio no mês da venda: Pix à vista ou cartão parcelado pelo cliente, com a operadora antecipando o valor para a Precept.</t>
  </si>
  <si>
    <t xml:space="preserve">2. DESPESAS VARIÁVEIS</t>
  </si>
  <si>
    <t xml:space="preserve">Tokens de IA e nuvem por cliente Core ativo (R$/mês)</t>
  </si>
  <si>
    <t xml:space="preserve">API Claude Sonnet 4.6: US$ 3 (entrada) e US$ 15 (saída) por milhão de tokens. ~3 mi de entrada + 0,5 mi de saída por cliente ≈ US$ 16,5 ≈ R$ 90 (câmbio ~R$ 5,50).</t>
  </si>
  <si>
    <t xml:space="preserve">Meio de pagamento – Pix, boleto e cartão (% da venda)</t>
  </si>
  <si>
    <t xml:space="preserve">Asaas: Pix e boleto R$ 1,99 por cobrança; cartão à vista 2,99% + R$ 0,49; parcelado em 2 a 6x 3,49% + R$ 0,49, mais a antecipação (asaas.com/precos-e-taxas). Média ponderada ≈ 2%, supondo a maioria dos pagamentos via Pix ou boleto.</t>
  </si>
  <si>
    <t xml:space="preserve">Comissão de parceiros (% da receita de Sprint e Scale)</t>
  </si>
  <si>
    <t xml:space="preserve">10% para parceiros que indicam (contadores, associações de advocacia) em cerca de metade das vendas de Sprint e Scale.</t>
  </si>
  <si>
    <t xml:space="preserve">Especialistas na entrega (% da receita de Sprint e Scale)</t>
  </si>
  <si>
    <t xml:space="preserve">Gestores e empresários experientes pagos por projeto: é o know-how que o pitch apresenta como diferencial. Lançado no mês da venda, junto com a receita.</t>
  </si>
  <si>
    <t xml:space="preserve">Deslocamento por Sprint (R$)</t>
  </si>
  <si>
    <t xml:space="preserve">Transporte e alimentação nos 7 dias de imersão na Grande SP.</t>
  </si>
  <si>
    <t xml:space="preserve">Deslocamento por Scale vendido (R$)</t>
  </si>
  <si>
    <t xml:space="preserve">6 visitas mensais de acompanhamento (R$ 200 cada), lançadas no mês da venda.</t>
  </si>
  <si>
    <t xml:space="preserve">3. SIMPLES NACIONAL – ANEXO V (LC 123/2006)</t>
  </si>
  <si>
    <t xml:space="preserve">Faixa (receita bruta dos últimos 12 meses)</t>
  </si>
  <si>
    <t xml:space="preserve">RBT12 a partir de (R$)</t>
  </si>
  <si>
    <t xml:space="preserve">Alíquota nominal</t>
  </si>
  <si>
    <t xml:space="preserve">Parcela a deduzir (R$)</t>
  </si>
  <si>
    <t xml:space="preserve">1ª faixa – até R$ 180 mil</t>
  </si>
  <si>
    <t xml:space="preserve">2ª faixa – até R$ 360 mil</t>
  </si>
  <si>
    <t xml:space="preserve">3ª faixa – até R$ 720 mil</t>
  </si>
  <si>
    <t xml:space="preserve">4ª faixa – até R$ 1,8 mi</t>
  </si>
  <si>
    <t xml:space="preserve">5ª faixa – até R$ 3,6 mi</t>
  </si>
  <si>
    <t xml:space="preserve">6ª faixa – até R$ 4,8 mi</t>
  </si>
  <si>
    <t xml:space="preserve">SaaS e consultoria de gestão ficam no Anexo V enquanto o Fator R (folha ÷ receita) for menor que 28%. Alíquota efetiva = (RBT12 × alíquota nominal − parcela a deduzir) ÷ RBT12. No 1º ano, RBT12 = média dos meses anteriores × 12.</t>
  </si>
  <si>
    <t xml:space="preserve">4. DESPESAS FIXAS (R$/mês, sem a retirada dos sócios)</t>
  </si>
  <si>
    <t xml:space="preserve">Aluguel e condomínio – escritório virtual</t>
  </si>
  <si>
    <t xml:space="preserve">Endereço fiscal com sala de reunião sob demanda: planos a partir de R$ 80/mês na Av. Paulista (Company Hero) + uso avulso de sala.</t>
  </si>
  <si>
    <t xml:space="preserve">Salários + encargos (CLT)</t>
  </si>
  <si>
    <t xml:space="preserve">Sem funcionários CLT fixos: o suporte aos clientes cresce com a base e está nas despesas variáveis (seção 10).</t>
  </si>
  <si>
    <t xml:space="preserve">Contador</t>
  </si>
  <si>
    <t xml:space="preserve">Contabilidade online para serviços: R$ 120–400/mês (contabilidade.com, 2026). Topo da faixa por ter 7 sócios com retirada.</t>
  </si>
  <si>
    <t xml:space="preserve">Energia, água, gás</t>
  </si>
  <si>
    <t xml:space="preserve">Equipe remota, sem sede física.</t>
  </si>
  <si>
    <t xml:space="preserve">Internet e telefone</t>
  </si>
  <si>
    <t xml:space="preserve">2 linhas corporativas + WhatsApp Business.</t>
  </si>
  <si>
    <t xml:space="preserve">Marketing / redes sociais</t>
  </si>
  <si>
    <t xml:space="preserve">Marca e conteúdo (LinkedIn, Instagram, eventos de associações). A mídia paga por cliente novo está na seção 10.</t>
  </si>
  <si>
    <t xml:space="preserve">Softwares e assinaturas</t>
  </si>
  <si>
    <t xml:space="preserve">Google Workspace (7 contas), CRM, ferramentas de IA para desenvolvimento, design e assinatura eletrônica.</t>
  </si>
  <si>
    <t xml:space="preserve">Desenvolvedor auxiliar PJ (meio período, 20 h/semana)</t>
  </si>
  <si>
    <t xml:space="preserve">Metade da faixa de dev pleno PJ (R$ 10–18 mil/mês, Jobrise 2026; Robert Half: mediana R$ 12 mil). Os sócios seguem construindo junto.</t>
  </si>
  <si>
    <t xml:space="preserve">Nuvem, banco de dados e segurança (base fixa)</t>
  </si>
  <si>
    <t xml:space="preserve">Hospedagem, banco de dados, backups e monitoramento. O consumo por cliente está na linha de tokens.</t>
  </si>
  <si>
    <t xml:space="preserve">TOTAL DAS DESPESAS FIXAS SEM RETIRADA</t>
  </si>
  <si>
    <t xml:space="preserve">É o custo mensal da Precept com receita zero: base do cálculo de runway.</t>
  </si>
  <si>
    <t xml:space="preserve">5. RETIRADA DOS SÓCIOS (pró-labore)</t>
  </si>
  <si>
    <t xml:space="preserve">Número de sócios</t>
  </si>
  <si>
    <t xml:space="preserve">Quadro societário da Precept: todos recebem a mesma quantia.</t>
  </si>
  <si>
    <t xml:space="preserve">Retirada por sócio (% da receita bruta do mês)</t>
  </si>
  <si>
    <t xml:space="preserve">Igual para os 7 sócios, a partir do mês 4. Com a escada de vendas do Core, o break-even acontece no mês 3, antes de a retirada começar.</t>
  </si>
  <si>
    <t xml:space="preserve">Mês em que a retirada começa</t>
  </si>
  <si>
    <t xml:space="preserve">Decisão do grupo (3º ou 4º mês). O mês 4 deixa o 1º trimestre só para validar o MVP e reduz a necessidade de caixa.</t>
  </si>
  <si>
    <t xml:space="preserve">Retirada total (% da receita bruta)</t>
  </si>
  <si>
    <t xml:space="preserve">Nº de sócios × % por sócio.</t>
  </si>
  <si>
    <t xml:space="preserve">6. INVESTIMENTO INICIAL (PERÍODO 0) E CAPITAL</t>
  </si>
  <si>
    <t xml:space="preserve">Máquinas e equipamentos</t>
  </si>
  <si>
    <t xml:space="preserve">2 notebooks de desenvolvimento (~R$ 5.500 cada) + monitor e periféricos (~R$ 1.000).</t>
  </si>
  <si>
    <t xml:space="preserve">Móveis e utensílios</t>
  </si>
  <si>
    <t xml:space="preserve">Não se aplica: equipe remota, sem sede.</t>
  </si>
  <si>
    <t xml:space="preserve">Reforma / instalação</t>
  </si>
  <si>
    <t xml:space="preserve">Não se aplica: sem sede física.</t>
  </si>
  <si>
    <t xml:space="preserve">Abertura da empresa e licenças</t>
  </si>
  <si>
    <t xml:space="preserve">JUCESP R$ 132,55; e-CNPJ ~R$ 200; taxas municipais ~R$ 500; marca no INPI R$ 440 por classe (classes 35 e 42, com desconto de ME); honorários de abertura.</t>
  </si>
  <si>
    <t xml:space="preserve">Estoque inicial</t>
  </si>
  <si>
    <t xml:space="preserve">Não se aplica: serviço digital, sem estoque.</t>
  </si>
  <si>
    <t xml:space="preserve">Desenvolvimento do MVP (sócios + devs auxiliares, 3 meses)</t>
  </si>
  <si>
    <t xml:space="preserve">1 dev pleno PJ (R$ 10 mil/mês) + 1 dev júnior PJ (R$ 6 mil/mês) por 3 meses = R$ 48 mil; design UX/UI R$ 6 mil; tokens de IA e nuvem do período R$ 3 mil.</t>
  </si>
  <si>
    <t xml:space="preserve">Jurídico/LGPD, segurança, identidade visual, site e pré-lançamento</t>
  </si>
  <si>
    <t xml:space="preserve">Contrato social, acordo de sócios, termos de uso, política de privacidade, DPA e contratos com cessão de PI R$ 10 mil; teste de segurança R$ 5 mil; identidade visual e site R$ 5,5 mil; pré-lançamento R$ 10 mil.</t>
  </si>
  <si>
    <t xml:space="preserve">TOTAL DO INVESTIMENTO INICIAL (D)</t>
  </si>
  <si>
    <t xml:space="preserve">Vai para o período 0 da aba Fluxo de Caixa.</t>
  </si>
  <si>
    <t xml:space="preserve">Capital inicial dos sócios</t>
  </si>
  <si>
    <t xml:space="preserve">Capital apresentado no pitch (slide 14): custeia tokens, IAs, programa e sistema.</t>
  </si>
  <si>
    <t xml:space="preserve">7. TAXA DE DESCONTO (TMA)</t>
  </si>
  <si>
    <t xml:space="preserve">CDI de referência (% a.a.)</t>
  </si>
  <si>
    <t xml:space="preserve">Selic em 13,75% a.a. (Copom, 16/09/2026). CDI ≈ Selic − 0,10 p.p.</t>
  </si>
  <si>
    <t xml:space="preserve">Prêmio pelo risco do negócio (p.p. a.a.)</t>
  </si>
  <si>
    <t xml:space="preserve">Risco entre Moderado e Alto na tabela da disciplina. É um produto novo, mas num mercado validado por benchmarks: ADVBOX (+5 mil escritórios, planos até R$ 1.800/mês), G4 Educação (R$ 509 mi/ano com gestão para PMEs), AB2L (+600 lawtechs). Como ainda não há vendas, fica no topo da faixa Moderada.</t>
  </si>
  <si>
    <t xml:space="preserve">TMA do grupo (% a.a.)</t>
  </si>
  <si>
    <t xml:space="preserve">Vai para a aba VPL e TIR. Também é a taxa da seção 6 da ficha.</t>
  </si>
  <si>
    <t xml:space="preserve">8. INDICADORES-CHAVE (automático)</t>
  </si>
  <si>
    <t xml:space="preserve">Runway sem receita (meses)</t>
  </si>
  <si>
    <t xml:space="preserve">(Capital − investimento) ÷ despesas fixas sem retirada. Meta do pitch: 4 meses.</t>
  </si>
  <si>
    <t xml:space="preserve">Break-even operacional (1º mês com resultado ≥ 0)</t>
  </si>
  <si>
    <t xml:space="preserve">Primeiro mês em que a receita cobre todas as despesas.</t>
  </si>
  <si>
    <t xml:space="preserve">Necessidade máxima de caixa</t>
  </si>
  <si>
    <t xml:space="preserve">Investimento + prejuízos acumulados até o pior momento.</t>
  </si>
  <si>
    <t xml:space="preserve">Folga do capital inicial</t>
  </si>
  <si>
    <t xml:space="preserve">Capital − necessidade máxima. Positivo = os R$ 150 mil bastam, com sobra de reserva.</t>
  </si>
  <si>
    <t xml:space="preserve">VPL</t>
  </si>
  <si>
    <t xml:space="preserve">Copiado da aba VPL e TIR.</t>
  </si>
  <si>
    <t xml:space="preserve">TIR equivalente ao ano</t>
  </si>
  <si>
    <t xml:space="preserve">Compare com a TMA da linha 64.</t>
  </si>
  <si>
    <t xml:space="preserve">Payback simples (período)</t>
  </si>
  <si>
    <t xml:space="preserve">1º mês com saldo acumulado ≥ 0.</t>
  </si>
  <si>
    <t xml:space="preserve">Payback descontado (período)</t>
  </si>
  <si>
    <t xml:space="preserve">1º mês com VP acumulado ≥ 0.</t>
  </si>
  <si>
    <t xml:space="preserve">Retirada média por sócio na Estabilidade (R$/mês)</t>
  </si>
  <si>
    <t xml:space="preserve">Meses 13 a 24.</t>
  </si>
  <si>
    <t xml:space="preserve">9. SENSIBILIDADE DO VPL À TMA</t>
  </si>
  <si>
    <t xml:space="preserve">TMA (% a.a.)</t>
  </si>
  <si>
    <t xml:space="preserve">VPL (R$)</t>
  </si>
  <si>
    <t xml:space="preserve">Leitura</t>
  </si>
  <si>
    <t xml:space="preserve">20–24% = risco Moderado · 24–29% = risco Alto · acima de 29% = risco Muito alto (tabela da disciplina).</t>
  </si>
  <si>
    <t xml:space="preserve">10. VENDAS DO CORE EM ESCADA E CUSTOS POR CLIENTE</t>
  </si>
  <si>
    <t xml:space="preserve">Vendas do Core nos meses 1 a 4 (clientes novos)</t>
  </si>
  <si>
    <t xml:space="preserve">3, 5, 7, 10</t>
  </si>
  <si>
    <t xml:space="preserve">Decisão do grupo. Os quatro valores ficam na coluna B da aba Projeção Mensal (células cinzas dos meses 1 a 4).</t>
  </si>
  <si>
    <t xml:space="preserve">Crescimento mensal das vendas do Core a partir do mês 5</t>
  </si>
  <si>
    <t xml:space="preserve">Escada exponencial: as vendas do mês 4 (10) crescem 5% ao mês (≈ 80% ao ano), chegando a 27 clientes novos no mês 24. Teste 0%, 3% ou 8% para ver a sensibilidade.</t>
  </si>
  <si>
    <t xml:space="preserve">Churn mensal do Core (% da base que cancela)</t>
  </si>
  <si>
    <t xml:space="preserve">Benchmark de SaaS B2B para pequenas empresas: 30% a 50% ao ano (≈ 3% a 5% ao mês); meta abaixo de 2% ao mês (UserJot e Vitally, 2025).</t>
  </si>
  <si>
    <t xml:space="preserve">Suporte e sucesso do cliente (R$ por cliente ativo/mês)</t>
  </si>
  <si>
    <t xml:space="preserve">1 analista de suporte (≈ R$ 4.500 + encargos ≈ R$ 7.500/mês) para cada 50 escritórios. Cresce com a base de clientes.</t>
  </si>
  <si>
    <t xml:space="preserve">Custo de aquisição por cliente novo do Core (R$)</t>
  </si>
  <si>
    <t xml:space="preserve">Mídia paga e comissão de parceiros por escritório conquistado. Mantém o CAC de ~R$ 1.000 usado no cálculo de LTV/CAC.</t>
  </si>
  <si>
    <t xml:space="preserve">Meses de Core grátis por Sprint vendido</t>
  </si>
  <si>
    <t xml:space="preserve">Decisão do grupo: quem compra o Sprint ganha 1 mês de Core.</t>
  </si>
  <si>
    <t xml:space="preserve">Meses de Core grátis por Scale vendido</t>
  </si>
  <si>
    <t xml:space="preserve">Decisão do grupo: quem compra o Scale ganha 3 meses de Core.</t>
  </si>
  <si>
    <t xml:space="preserve">11. LUCRO PRESUMIDO (quando a receita dos últimos 12 meses passa de R$ 4,8 mi)</t>
  </si>
  <si>
    <t xml:space="preserve">Limite do Simples Nacional (RBT12, R$)</t>
  </si>
  <si>
    <t xml:space="preserve">LC 123/2006, art. 3º: acima disso a empresa sai do Simples. Simplificação: o modelo troca de regime no mês em que o RBT12 passa do limite.</t>
  </si>
  <si>
    <t xml:space="preserve">Presunção de lucro para serviços</t>
  </si>
  <si>
    <t xml:space="preserve">Lei 9.249/1995, art. 15: 32% da receita para prestação de serviços.</t>
  </si>
  <si>
    <t xml:space="preserve">IRPJ sobre o lucro presumido</t>
  </si>
  <si>
    <t xml:space="preserve">15% + adicional de 10% sobre a parcela do lucro presumido acima de R$ 20 mil por mês.</t>
  </si>
  <si>
    <t xml:space="preserve">CSLL sobre o lucro presumido</t>
  </si>
  <si>
    <t xml:space="preserve">9% sobre a mesma base de 32%.</t>
  </si>
  <si>
    <t xml:space="preserve">PIS + COFINS (regime cumulativo)</t>
  </si>
  <si>
    <t xml:space="preserve">0,65% + 3,00% sobre a receita.</t>
  </si>
  <si>
    <t xml:space="preserve">ISS (São Paulo)</t>
  </si>
  <si>
    <t xml:space="preserve">Alíquota máxima de 5%, usada por prudência (a licença de software tem alíquota menor em SP). Vale também no Simples acima do sublimite (linha 102).</t>
  </si>
  <si>
    <t xml:space="preserve">Sublimite do ISS no Simples (RBT12, R$)</t>
  </si>
  <si>
    <t xml:space="preserve">LC 123/2006, art. 13-A: acima de R$ 3,6 mi o ISS deixa de ser recolhido no DAS e é pago à parte ao município (por isso a 6ª faixa do Anexo V tem alíquota efetiva menor).</t>
  </si>
  <si>
    <t xml:space="preserve">PROJEÇÃO MENSAL DA PRECEPT – 24 MESES</t>
  </si>
  <si>
    <t xml:space="preserve">Cinza = vendas (Core nos meses 1 a 4, Sprint e Scale). Do mês 5 em diante, as vendas do Core crescem pela taxa da Premissa 88. Azul = automático. As colunas K, W e Z alimentam a aba Fluxo de Caixa.</t>
  </si>
  <si>
    <t xml:space="preserve">Mês</t>
  </si>
  <si>
    <t xml:space="preserve">Clientes novos do Core</t>
  </si>
  <si>
    <t xml:space="preserve">Clientes Core ativos</t>
  </si>
  <si>
    <t xml:space="preserve">Sprints vendidos</t>
  </si>
  <si>
    <t xml:space="preserve">Scales vendidos</t>
  </si>
  <si>
    <t xml:space="preserve">Meses de Core grátis</t>
  </si>
  <si>
    <t xml:space="preserve">Clientes Core pagantes</t>
  </si>
  <si>
    <t xml:space="preserve">Receita Core (R$)</t>
  </si>
  <si>
    <t xml:space="preserve">Receita Sprint (R$)</t>
  </si>
  <si>
    <t xml:space="preserve">Receita Scale (R$)</t>
  </si>
  <si>
    <t xml:space="preserve">Vendas Brutas (R$)</t>
  </si>
  <si>
    <t xml:space="preserve">Receita últimos 12 meses (R$)</t>
  </si>
  <si>
    <t xml:space="preserve">Regime tributário</t>
  </si>
  <si>
    <t xml:space="preserve">Alíquota efetiva</t>
  </si>
  <si>
    <t xml:space="preserve">Impostos (R$)</t>
  </si>
  <si>
    <t xml:space="preserve">Tokens IA (R$)</t>
  </si>
  <si>
    <t xml:space="preserve">Suporte ao cliente (R$)</t>
  </si>
  <si>
    <t xml:space="preserve">Meio de pagamento (R$)</t>
  </si>
  <si>
    <t xml:space="preserve">Aquisição de clientes Core (R$)</t>
  </si>
  <si>
    <t xml:space="preserve">Comissões Sprint/Scale (R$)</t>
  </si>
  <si>
    <t xml:space="preserve">Especialistas (R$)</t>
  </si>
  <si>
    <t xml:space="preserve">Deslocamento (R$)</t>
  </si>
  <si>
    <t xml:space="preserve">Despesas Variáveis (R$)</t>
  </si>
  <si>
    <t xml:space="preserve">Fixo base (R$)</t>
  </si>
  <si>
    <t xml:space="preserve">Retirada dos sócios (R$)</t>
  </si>
  <si>
    <t xml:space="preserve">Despesas Fixas (R$)</t>
  </si>
  <si>
    <t xml:space="preserve">Resultado Operacional (R$)</t>
  </si>
  <si>
    <t xml:space="preserve">Retirada por sócio (R$)</t>
  </si>
  <si>
    <t xml:space="preserve">Resultado ≥ 0?</t>
  </si>
  <si>
    <t xml:space="preserve">–</t>
  </si>
  <si>
    <t xml:space="preserve">TOTAL</t>
  </si>
  <si>
    <t xml:space="preserve">RESUMO POR FASE → seção 5 da ficha (médias mensais de cada fase)</t>
  </si>
  <si>
    <t xml:space="preserve">Fase</t>
  </si>
  <si>
    <t xml:space="preserve">Períodos</t>
  </si>
  <si>
    <t xml:space="preserve">Vendas Brutas por mês (R$)</t>
  </si>
  <si>
    <t xml:space="preserve">Despesas Variáveis por mês (R$)</t>
  </si>
  <si>
    <t xml:space="preserve">Despesas Fixas por mês (R$)</t>
  </si>
  <si>
    <t xml:space="preserve">Investimentos (R$)</t>
  </si>
  <si>
    <t xml:space="preserve">% variável da fase</t>
  </si>
  <si>
    <t xml:space="preserve">Resultado por mês (R$)</t>
  </si>
  <si>
    <t xml:space="preserve">Clientes Core ativos (média)</t>
  </si>
  <si>
    <t xml:space="preserve">Sprints na fase</t>
  </si>
  <si>
    <t xml:space="preserve">Scales na fase</t>
  </si>
  <si>
    <t xml:space="preserve">Antes de abrir</t>
  </si>
  <si>
    <t xml:space="preserve">0</t>
  </si>
  <si>
    <t xml:space="preserve">Início</t>
  </si>
  <si>
    <t xml:space="preserve">1 a 6</t>
  </si>
  <si>
    <t xml:space="preserve">Crescimento</t>
  </si>
  <si>
    <t xml:space="preserve">7 a 12</t>
  </si>
  <si>
    <t xml:space="preserve">Estabilidade</t>
  </si>
  <si>
    <t xml:space="preserve">13 a 24</t>
  </si>
  <si>
    <t xml:space="preserve">MÊS TÍPICO (média da Estabilidade, meses 13 a 24) → seções 1, 2 e 3 da ficha</t>
  </si>
  <si>
    <t xml:space="preserve">Item</t>
  </si>
  <si>
    <t xml:space="preserve">Quantidade por mês</t>
  </si>
  <si>
    <t xml:space="preserve">Preço ou base (R$)</t>
  </si>
  <si>
    <t xml:space="preserve">Valor mensal (R$)</t>
  </si>
  <si>
    <t xml:space="preserve">Core – assinatura mensal (clientes pagantes)</t>
  </si>
  <si>
    <t xml:space="preserve">Sprint – planejamento de 7 dias</t>
  </si>
  <si>
    <t xml:space="preserve">Scale – implementação de 6 meses</t>
  </si>
  <si>
    <t xml:space="preserve">TOTAL DA RECEITA MENSAL (A)</t>
  </si>
  <si>
    <t xml:space="preserve">Tokens de IA e nuvem (por cliente ativo)</t>
  </si>
  <si>
    <t xml:space="preserve">Suporte e sucesso do cliente (por cliente ativo)</t>
  </si>
  <si>
    <t xml:space="preserve">Impostos (Simples ou Lucro Presumido)</t>
  </si>
  <si>
    <t xml:space="preserve">Meio de pagamento</t>
  </si>
  <si>
    <t xml:space="preserve">Aquisição de clientes Core (por cliente novo)</t>
  </si>
  <si>
    <t xml:space="preserve">Comissões de parceiros (Sprint e Scale)</t>
  </si>
  <si>
    <t xml:space="preserve">Deslocamento (Sprint e Scale)</t>
  </si>
  <si>
    <t xml:space="preserve">Especialistas na entrega</t>
  </si>
  <si>
    <t xml:space="preserve">TOTAL DAS DESPESAS VARIÁVEIS (B)</t>
  </si>
  <si>
    <t xml:space="preserve">Retirada dos sócios (7 sócios × % da receita)</t>
  </si>
  <si>
    <t xml:space="preserve">Despesas fixas sem retirada</t>
  </si>
  <si>
    <t xml:space="preserve">TOTAL DAS DESPESAS FIXAS (C)</t>
  </si>
  <si>
    <t xml:space="preserve">MERCADO DA PRECEPT – TAM, SAM, BEACHHEAD E SOM</t>
  </si>
  <si>
    <t xml:space="preserve">Cálculo de baixo para cima a partir do número de advogados. Cinza = dado com fonte ou hipótese declarada (veja a coluna C). Azul = automático.</t>
  </si>
  <si>
    <t xml:space="preserve">1. DADOS DE ENTRADA</t>
  </si>
  <si>
    <t xml:space="preserve">Advogados inscritos na OAB no Brasil</t>
  </si>
  <si>
    <t xml:space="preserve">Fonte: “o Brasil conta com mais de 1,3 milhão de advogados” (Migalhas, Sociedades de advogados: profissionalização e papel da OAB; OAB Nacional, 2025).</t>
  </si>
  <si>
    <t xml:space="preserve">% dos advogados que atuam em escritórios de R$ 1 a 10 mi/ano</t>
  </si>
  <si>
    <t xml:space="preserve">HIPÓTESE a validar. A maioria atua sozinha ou em sociedades pequenas; em 2015 já havia mais de 35 mil sociedades de advogados (OAB/Migalhas).</t>
  </si>
  <si>
    <t xml:space="preserve">Advogados por escritório nessa faixa (média)</t>
  </si>
  <si>
    <t xml:space="preserve">HIPÓTESE: faixa do ICP de 4 a 40 advogados, com faturamento de R$ 150 a 300 mil por advogado ao ano.</t>
  </si>
  <si>
    <t xml:space="preserve">% dos advogados no estado de São Paulo</t>
  </si>
  <si>
    <t xml:space="preserve">HIPÓTESE a confirmar no Quadro de Advogados da OAB. Em 2025 a OAB SP teve alta de 12% nos registros de sociedades (Jornal da Advocacia OAB SP).</t>
  </si>
  <si>
    <t xml:space="preserve">% do estado concentrado na Grande São Paulo</t>
  </si>
  <si>
    <t xml:space="preserve">HIPÓTESE: capital e região metropolitana concentram a maior parte da advocacia paulista.</t>
  </si>
  <si>
    <t xml:space="preserve">% de escritórios com foco em direito previdenciário</t>
  </si>
  <si>
    <t xml:space="preserve">HIPÓTESE: o previdenciário é uma das maiores áreas de volume da advocacia (litígios contra o INSS).</t>
  </si>
  <si>
    <t xml:space="preserve">Receita anual por cliente do Core (R$/ano)</t>
  </si>
  <si>
    <t xml:space="preserve">Assinatura do Core × 12 meses. Sprint e Scale ficam de fora do tamanho de mercado (receita pontual).</t>
  </si>
  <si>
    <t xml:space="preserve">2. TAMANHO DO MERCADO</t>
  </si>
  <si>
    <t xml:space="preserve">Camada</t>
  </si>
  <si>
    <t xml:space="preserve">Escritórios</t>
  </si>
  <si>
    <t xml:space="preserve">Receita potencial do Core (R$/ano)</t>
  </si>
  <si>
    <t xml:space="preserve">Definição</t>
  </si>
  <si>
    <t xml:space="preserve">TAM – escritórios de R$ 1 a 10 mi/ano no Brasil</t>
  </si>
  <si>
    <t xml:space="preserve">Todos os escritórios do perfil do ICP no país, de qualquer área do direito.</t>
  </si>
  <si>
    <t xml:space="preserve">SAM – mesmo perfil no estado de São Paulo</t>
  </si>
  <si>
    <t xml:space="preserve">Onde a Precept consegue vender e entregar Sprint e Scale presencialmente nos 2 primeiros anos.</t>
  </si>
  <si>
    <t xml:space="preserve">Beachhead – previdenciário na Grande São Paulo</t>
  </si>
  <si>
    <t xml:space="preserve">Mercado inicial: compram software jurídico, conversam entre si (associações e eventos do setor) e têm a mesma dor de gestão.</t>
  </si>
  <si>
    <t xml:space="preserve">SOM – clientes Core ativos no mês 24 (modelo financeiro)</t>
  </si>
  <si>
    <t xml:space="preserve">Receita recorrente anualizada no mês 24: clientes pagantes × assinatura × 12.</t>
  </si>
  <si>
    <t xml:space="preserve">3. LEITURA DO SOM</t>
  </si>
  <si>
    <t xml:space="preserve">Clientes Core ativos no mês 12</t>
  </si>
  <si>
    <t xml:space="preserve">No primeiro ano a venda fica concentrada no beachhead (previdenciário da Grande SP).</t>
  </si>
  <si>
    <t xml:space="preserve">Penetração do beachhead no mês 12</t>
  </si>
  <si>
    <t xml:space="preserve">SOM (mês 24) como % do SAM</t>
  </si>
  <si>
    <t xml:space="preserve">SOM (mês 24) como % do TAM</t>
  </si>
  <si>
    <t xml:space="preserve">SOM (mês 24) em relação ao beachhead</t>
  </si>
  <si>
    <t xml:space="preserve">Os dados marcados como HIPÓTESE devem ser confirmados antes da entrega: Quadro de Advogados (oab.org.br), Cadastro Nacional de Sociedades de Advogados e dados abertos do CNPJ pelo CNAE 6911-7/01 (Receita Federal). Basta trocar as células cinzas: todo o resto recalcula.</t>
  </si>
  <si>
    <t xml:space="preserve">FLUXO DE CAIXA DETALHADO</t>
  </si>
  <si>
    <t xml:space="preserve">Preencha as células CINZAS. As AZUIS são calculadas. Período 0 = investimento inicial; períodos 1 a 24 = operação.</t>
  </si>
  <si>
    <t xml:space="preserve">Período</t>
  </si>
  <si>
    <t xml:space="preserve">Fluxo de Caixa Líquido (R$)</t>
  </si>
  <si>
    <t xml:space="preserve">Valores atuais são EXEMPLO (investimento de R$ 50.000 e lucro operacional de R$ 4.000/mês). Substitua pelos dados do seu projeto.</t>
  </si>
  <si>
    <t xml:space="preserve">SALDO ACUMULADO, NECESSIDADE DE CAIXA E PAYBACK</t>
  </si>
  <si>
    <t xml:space="preserve">Aba 100% automática. Mostra quanto dinheiro o projeto acumula (ou consome) ao longo do tempo.</t>
  </si>
  <si>
    <t xml:space="preserve">Saldo Acumulado (R$)</t>
  </si>
  <si>
    <t xml:space="preserve">Investimento recuperado?</t>
  </si>
  <si>
    <t xml:space="preserve">RESUMO</t>
  </si>
  <si>
    <t xml:space="preserve">Necessidade máxima de caixa (R$):</t>
  </si>
  <si>
    <t xml:space="preserve">← pior saldo: dinheiro que os sócios precisam ter</t>
  </si>
  <si>
    <t xml:space="preserve">Payback simples (1º período com saldo ≥ 0):</t>
  </si>
  <si>
    <t xml:space="preserve">← 1º período com saldo acumulado ≥ 0</t>
  </si>
  <si>
    <t xml:space="preserve">ANÁLISE DE VIABILIDADE FINANCEIRA</t>
  </si>
  <si>
    <t xml:space="preserve">Preencha as duas células CINZAS abaixo. Todo o resto é calculado a partir da aba Fluxo de Caixa.</t>
  </si>
  <si>
    <t xml:space="preserve">1. PARÂMETROS</t>
  </si>
  <si>
    <t xml:space="preserve">Taxa de desconto ANUAL (TMA):</t>
  </si>
  <si>
    <t xml:space="preserve">Digite com o símbolo %: 15% (ou 0,15) para 15% ao ano. Exemplo usado: 15% a.a. (troque pela taxa do grupo).</t>
  </si>
  <si>
    <t xml:space="preserve">Os períodos da planilha são:</t>
  </si>
  <si>
    <t xml:space="preserve">Mensal</t>
  </si>
  <si>
    <t xml:space="preserve">Escolha na lista: Mensal ou Anual.</t>
  </si>
  <si>
    <t xml:space="preserve">Taxa de desconto por período:</t>
  </si>
  <si>
    <t xml:space="preserve">Automático. Taxa mensal equivalente: (1 + taxa anual)^(1/12) − 1.</t>
  </si>
  <si>
    <t xml:space="preserve">2. FLUXO DE CAIXA TRAZIDO A VALOR PRESENTE</t>
  </si>
  <si>
    <t xml:space="preserve">Fluxo de Caixa (R$)</t>
  </si>
  <si>
    <t xml:space="preserve">Fator de Desconto</t>
  </si>
  <si>
    <t xml:space="preserve">Valor Presente (R$)</t>
  </si>
  <si>
    <t xml:space="preserve">VP Acumulado (R$)</t>
  </si>
  <si>
    <t xml:space="preserve">Recuperado (descontado)?</t>
  </si>
  <si>
    <t xml:space="preserve">3. RESULTADOS</t>
  </si>
  <si>
    <t xml:space="preserve">Valor Presente Líquido (VPL):</t>
  </si>
  <si>
    <t xml:space="preserve">TIR por período:</t>
  </si>
  <si>
    <t xml:space="preserve">TIR equivalente ao ano:</t>
  </si>
  <si>
    <t xml:space="preserve">Investimento inicial (período 0):</t>
  </si>
  <si>
    <t xml:space="preserve">VPL em % do investimento inicial:</t>
  </si>
  <si>
    <t xml:space="preserve">Payback descontado (1º período com VP acum. ≥ 0):</t>
  </si>
  <si>
    <t xml:space="preserve">Necessidade máxima de caixa:</t>
  </si>
  <si>
    <t xml:space="preserve">4. COMO LER OS RESULTADOS</t>
  </si>
  <si>
    <t xml:space="preserve">• VPL &gt; 0 → viável: o projeto devolve o investimento, paga a taxa exigida e ainda gera o valor mostrado (em R$ de hoje).</t>
  </si>
  <si>
    <t xml:space="preserve">• VPL &lt; 0 → inviável nas premissas atuais: revise preço, volume, custos ou investimento e teste novos cenários.</t>
  </si>
  <si>
    <t xml:space="preserve">• TIR &gt; taxa de desconto → viável. VPL e TIR normalmente apontam a mesma decisão; se divergirem, prefira o VPL.</t>
  </si>
  <si>
    <t xml:space="preserve">• Cuidado com a TIR quando o fluxo muda de sinal mais de uma vez (ex.: novo investimento no meio do projeto): ela pode ser enganosa. Nesse caso, decida pelo VPL.</t>
  </si>
  <si>
    <t xml:space="preserve">• Payback: quanto menor, mais rápido o dinheiro volta e menor o risco. O descontado é o mais rigoroso.</t>
  </si>
  <si>
    <t xml:space="preserve">• Necessidade máxima de caixa: os sócios precisam ter esse valor disponível (investimento + prejuízos iniciais).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</si>
</sst>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R$ &quot;#,##0.00;[RED]&quot;-R$ &quot;#,##0.00;\-"/>
    <numFmt numFmtId="166" formatCode="0;[RED]\-0;\-"/>
    <numFmt numFmtId="167" formatCode="0.0%;[RED]\-0.0%;\-"/>
    <numFmt numFmtId="168" formatCode="0.00%"/>
    <numFmt numFmtId="169" formatCode="0.0&quot; meses&quot;"/>
    <numFmt numFmtId="170" formatCode="&quot;mês &quot;0"/>
    <numFmt numFmtId="171" formatCode="0"/>
    <numFmt numFmtId="172" formatCode="#,##0.00;[RED]\-#,##0.00;\-"/>
    <numFmt numFmtId="173" formatCode="#,##0"/>
    <numFmt numFmtId="174" formatCode="@"/>
    <numFmt numFmtId="175" formatCode="0.000%"/>
    <numFmt numFmtId="176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sz val="10"/>
      <name val="Arial"/>
      <family val="2"/>
    </font>
    <font>
      <i val="true"/>
      <sz val="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0" customFormat="false" ht="15" hidden="false" customHeight="true" outlineLevel="0" collapsed="false">
      <c r="A10" s="5"/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5" t="s">
        <v>10</v>
      </c>
    </row>
    <row r="14" customFormat="false" ht="15" hidden="false" customHeight="true" outlineLevel="0" collapsed="false">
      <c r="A14" s="5"/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5" t="s">
        <v>13</v>
      </c>
    </row>
    <row r="18" customFormat="false" ht="15" hidden="false" customHeight="true" outlineLevel="0" collapsed="false">
      <c r="A18" s="5" t="s">
        <v>14</v>
      </c>
    </row>
    <row r="19" customFormat="false" ht="15" hidden="false" customHeight="true" outlineLevel="0" collapsed="false">
      <c r="A19" s="5" t="s">
        <v>15</v>
      </c>
    </row>
    <row r="20" customFormat="false" ht="15" hidden="false" customHeight="true" outlineLevel="0" collapsed="false">
      <c r="A20" s="5" t="s">
        <v>16</v>
      </c>
    </row>
    <row r="21" customFormat="false" ht="23.25" hidden="false" customHeight="true" outlineLevel="0" collapsed="false">
      <c r="A21" s="5" t="s">
        <v>17</v>
      </c>
    </row>
    <row r="22" customFormat="false" ht="15" hidden="false" customHeight="true" outlineLevel="0" collapsed="false">
      <c r="A22" s="5" t="s">
        <v>18</v>
      </c>
    </row>
    <row r="23" customFormat="false" ht="15" hidden="false" customHeight="true" outlineLevel="0" collapsed="false">
      <c r="A23" s="5" t="s">
        <v>19</v>
      </c>
    </row>
    <row r="24" customFormat="false" ht="15" hidden="false" customHeight="true" outlineLevel="0" collapsed="false">
      <c r="A24" s="5" t="s">
        <v>20</v>
      </c>
    </row>
    <row r="25" customFormat="false" ht="15" hidden="false" customHeight="true" outlineLevel="0" collapsed="false">
      <c r="A25" s="5" t="s">
        <v>21</v>
      </c>
    </row>
    <row r="26" customFormat="false" ht="15" hidden="false" customHeight="true" outlineLevel="0" collapsed="false">
      <c r="A26" s="5" t="s">
        <v>22</v>
      </c>
    </row>
    <row r="27" customFormat="false" ht="15" hidden="false" customHeight="true" outlineLevel="0" collapsed="false">
      <c r="A27" s="5"/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5" t="s">
        <v>24</v>
      </c>
    </row>
    <row r="30" customFormat="false" ht="15" hidden="false" customHeight="true" outlineLevel="0" collapsed="false">
      <c r="A30" s="5" t="s">
        <v>25</v>
      </c>
    </row>
    <row r="31" customFormat="false" ht="15" hidden="false" customHeight="true" outlineLevel="0" collapsed="false">
      <c r="A31" s="5" t="s">
        <v>26</v>
      </c>
    </row>
    <row r="32" customFormat="false" ht="15" hidden="false" customHeight="true" outlineLevel="0" collapsed="false">
      <c r="A32" s="5" t="s">
        <v>27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7"/>
    <col collapsed="false" customWidth="true" hidden="false" outlineLevel="0" max="3" min="3" style="0" width="96"/>
    <col collapsed="false" customWidth="true" hidden="false" outlineLevel="0" max="4" min="4" style="0" width="17"/>
  </cols>
  <sheetData>
    <row r="1" customFormat="false" ht="21.75" hidden="false" customHeight="true" outlineLevel="0" collapsed="false">
      <c r="A1" s="6" t="s">
        <v>28</v>
      </c>
      <c r="B1" s="7"/>
      <c r="C1" s="7"/>
    </row>
    <row r="2" customFormat="false" ht="15" hidden="false" customHeight="false" outlineLevel="0" collapsed="false">
      <c r="A2" s="8" t="s">
        <v>29</v>
      </c>
    </row>
    <row r="4" customFormat="false" ht="15" hidden="false" customHeight="false" outlineLevel="0" collapsed="false">
      <c r="A4" s="9" t="s">
        <v>30</v>
      </c>
      <c r="B4" s="10"/>
      <c r="C4" s="10"/>
    </row>
    <row r="5" customFormat="false" ht="22.35" hidden="false" customHeight="false" outlineLevel="0" collapsed="false">
      <c r="A5" s="11" t="s">
        <v>31</v>
      </c>
      <c r="B5" s="12" t="n">
        <v>1996</v>
      </c>
      <c r="C5" s="13" t="s">
        <v>32</v>
      </c>
    </row>
    <row r="6" customFormat="false" ht="15" hidden="false" customHeight="false" outlineLevel="0" collapsed="false">
      <c r="A6" s="11" t="s">
        <v>33</v>
      </c>
      <c r="B6" s="14" t="n">
        <v>5</v>
      </c>
      <c r="C6" s="13" t="s">
        <v>34</v>
      </c>
    </row>
    <row r="7" customFormat="false" ht="15" hidden="false" customHeight="false" outlineLevel="0" collapsed="false">
      <c r="A7" s="11" t="s">
        <v>35</v>
      </c>
      <c r="B7" s="12" t="n">
        <v>300</v>
      </c>
      <c r="C7" s="13" t="s">
        <v>36</v>
      </c>
    </row>
    <row r="8" customFormat="false" ht="15" hidden="false" customHeight="false" outlineLevel="0" collapsed="false">
      <c r="A8" s="11" t="s">
        <v>37</v>
      </c>
      <c r="B8" s="15" t="n">
        <f aca="false">B5</f>
        <v>1996</v>
      </c>
      <c r="C8" s="13" t="s">
        <v>38</v>
      </c>
    </row>
    <row r="9" customFormat="false" ht="15" hidden="false" customHeight="false" outlineLevel="0" collapsed="false">
      <c r="A9" s="11" t="s">
        <v>39</v>
      </c>
      <c r="B9" s="12" t="n">
        <v>9997</v>
      </c>
      <c r="C9" s="13" t="s">
        <v>40</v>
      </c>
    </row>
    <row r="10" customFormat="false" ht="22.35" hidden="false" customHeight="false" outlineLevel="0" collapsed="false">
      <c r="A10" s="11" t="s">
        <v>41</v>
      </c>
      <c r="B10" s="12" t="n">
        <v>29997</v>
      </c>
      <c r="C10" s="13" t="s">
        <v>42</v>
      </c>
    </row>
    <row r="11" customFormat="false" ht="15" hidden="false" customHeight="false" outlineLevel="0" collapsed="false">
      <c r="A11" s="11" t="s">
        <v>43</v>
      </c>
      <c r="B11" s="14" t="n">
        <v>6</v>
      </c>
      <c r="C11" s="13" t="s">
        <v>44</v>
      </c>
    </row>
    <row r="12" customFormat="false" ht="15" hidden="false" customHeight="false" outlineLevel="0" collapsed="false">
      <c r="A12" s="11" t="s">
        <v>45</v>
      </c>
      <c r="B12" s="16" t="s">
        <v>46</v>
      </c>
      <c r="C12" s="13" t="s">
        <v>47</v>
      </c>
    </row>
    <row r="14" customFormat="false" ht="15" hidden="false" customHeight="false" outlineLevel="0" collapsed="false">
      <c r="A14" s="9" t="s">
        <v>48</v>
      </c>
      <c r="B14" s="10"/>
      <c r="C14" s="10"/>
    </row>
    <row r="15" customFormat="false" ht="22.35" hidden="false" customHeight="false" outlineLevel="0" collapsed="false">
      <c r="A15" s="11" t="s">
        <v>49</v>
      </c>
      <c r="B15" s="12" t="n">
        <v>90</v>
      </c>
      <c r="C15" s="13" t="s">
        <v>50</v>
      </c>
    </row>
    <row r="16" customFormat="false" ht="22.35" hidden="false" customHeight="false" outlineLevel="0" collapsed="false">
      <c r="A16" s="11" t="s">
        <v>51</v>
      </c>
      <c r="B16" s="17" t="n">
        <v>0.02</v>
      </c>
      <c r="C16" s="13" t="s">
        <v>52</v>
      </c>
    </row>
    <row r="17" customFormat="false" ht="15" hidden="false" customHeight="false" outlineLevel="0" collapsed="false">
      <c r="A17" s="11" t="s">
        <v>53</v>
      </c>
      <c r="B17" s="17" t="n">
        <v>0.05</v>
      </c>
      <c r="C17" s="13" t="s">
        <v>54</v>
      </c>
    </row>
    <row r="18" customFormat="false" ht="22.35" hidden="false" customHeight="false" outlineLevel="0" collapsed="false">
      <c r="A18" s="11" t="s">
        <v>55</v>
      </c>
      <c r="B18" s="17" t="n">
        <v>0.35</v>
      </c>
      <c r="C18" s="13" t="s">
        <v>56</v>
      </c>
    </row>
    <row r="19" customFormat="false" ht="15" hidden="false" customHeight="false" outlineLevel="0" collapsed="false">
      <c r="A19" s="11" t="s">
        <v>57</v>
      </c>
      <c r="B19" s="12" t="n">
        <v>600</v>
      </c>
      <c r="C19" s="13" t="s">
        <v>58</v>
      </c>
    </row>
    <row r="20" customFormat="false" ht="15" hidden="false" customHeight="false" outlineLevel="0" collapsed="false">
      <c r="A20" s="11" t="s">
        <v>59</v>
      </c>
      <c r="B20" s="12" t="n">
        <v>1200</v>
      </c>
      <c r="C20" s="13" t="s">
        <v>60</v>
      </c>
    </row>
    <row r="22" customFormat="false" ht="15" hidden="false" customHeight="false" outlineLevel="0" collapsed="false">
      <c r="A22" s="9" t="s">
        <v>61</v>
      </c>
      <c r="B22" s="10"/>
      <c r="C22" s="10"/>
      <c r="D22" s="10"/>
    </row>
    <row r="23" customFormat="false" ht="15" hidden="false" customHeight="false" outlineLevel="0" collapsed="false">
      <c r="A23" s="18" t="s">
        <v>62</v>
      </c>
      <c r="B23" s="18" t="s">
        <v>63</v>
      </c>
      <c r="C23" s="18" t="s">
        <v>64</v>
      </c>
      <c r="D23" s="18" t="s">
        <v>65</v>
      </c>
    </row>
    <row r="24" customFormat="false" ht="15" hidden="false" customHeight="false" outlineLevel="0" collapsed="false">
      <c r="A24" s="19" t="s">
        <v>66</v>
      </c>
      <c r="B24" s="12" t="n">
        <v>0</v>
      </c>
      <c r="C24" s="20" t="n">
        <v>0.155</v>
      </c>
      <c r="D24" s="12" t="n">
        <v>0</v>
      </c>
    </row>
    <row r="25" customFormat="false" ht="15" hidden="false" customHeight="false" outlineLevel="0" collapsed="false">
      <c r="A25" s="19" t="s">
        <v>67</v>
      </c>
      <c r="B25" s="12" t="n">
        <v>180000.01</v>
      </c>
      <c r="C25" s="20" t="n">
        <v>0.18</v>
      </c>
      <c r="D25" s="12" t="n">
        <v>4500</v>
      </c>
    </row>
    <row r="26" customFormat="false" ht="15" hidden="false" customHeight="false" outlineLevel="0" collapsed="false">
      <c r="A26" s="19" t="s">
        <v>68</v>
      </c>
      <c r="B26" s="12" t="n">
        <v>360000.01</v>
      </c>
      <c r="C26" s="20" t="n">
        <v>0.195</v>
      </c>
      <c r="D26" s="12" t="n">
        <v>9900</v>
      </c>
    </row>
    <row r="27" customFormat="false" ht="15" hidden="false" customHeight="false" outlineLevel="0" collapsed="false">
      <c r="A27" s="19" t="s">
        <v>69</v>
      </c>
      <c r="B27" s="12" t="n">
        <v>720000.01</v>
      </c>
      <c r="C27" s="20" t="n">
        <v>0.205</v>
      </c>
      <c r="D27" s="12" t="n">
        <v>17100</v>
      </c>
    </row>
    <row r="28" customFormat="false" ht="15" hidden="false" customHeight="false" outlineLevel="0" collapsed="false">
      <c r="A28" s="19" t="s">
        <v>70</v>
      </c>
      <c r="B28" s="12" t="n">
        <v>1800000.01</v>
      </c>
      <c r="C28" s="20" t="n">
        <v>0.23</v>
      </c>
      <c r="D28" s="12" t="n">
        <v>62100</v>
      </c>
    </row>
    <row r="29" customFormat="false" ht="15" hidden="false" customHeight="false" outlineLevel="0" collapsed="false">
      <c r="A29" s="19" t="s">
        <v>71</v>
      </c>
      <c r="B29" s="12" t="n">
        <v>3600000.01</v>
      </c>
      <c r="C29" s="20" t="n">
        <v>0.305</v>
      </c>
      <c r="D29" s="12" t="n">
        <v>540000</v>
      </c>
    </row>
    <row r="30" customFormat="false" ht="15" hidden="false" customHeight="false" outlineLevel="0" collapsed="false">
      <c r="A30" s="21" t="s">
        <v>72</v>
      </c>
    </row>
    <row r="32" customFormat="false" ht="15" hidden="false" customHeight="false" outlineLevel="0" collapsed="false">
      <c r="A32" s="9" t="s">
        <v>73</v>
      </c>
      <c r="B32" s="10"/>
      <c r="C32" s="10"/>
    </row>
    <row r="33" customFormat="false" ht="15" hidden="false" customHeight="false" outlineLevel="0" collapsed="false">
      <c r="A33" s="11" t="s">
        <v>74</v>
      </c>
      <c r="B33" s="12" t="n">
        <v>150</v>
      </c>
      <c r="C33" s="13" t="s">
        <v>75</v>
      </c>
    </row>
    <row r="34" customFormat="false" ht="15" hidden="false" customHeight="false" outlineLevel="0" collapsed="false">
      <c r="A34" s="11" t="s">
        <v>76</v>
      </c>
      <c r="B34" s="12" t="n">
        <v>0</v>
      </c>
      <c r="C34" s="13" t="s">
        <v>77</v>
      </c>
    </row>
    <row r="35" customFormat="false" ht="15" hidden="false" customHeight="false" outlineLevel="0" collapsed="false">
      <c r="A35" s="11" t="s">
        <v>78</v>
      </c>
      <c r="B35" s="12" t="n">
        <v>400</v>
      </c>
      <c r="C35" s="13" t="s">
        <v>79</v>
      </c>
    </row>
    <row r="36" customFormat="false" ht="15" hidden="false" customHeight="false" outlineLevel="0" collapsed="false">
      <c r="A36" s="11" t="s">
        <v>80</v>
      </c>
      <c r="B36" s="12" t="n">
        <v>0</v>
      </c>
      <c r="C36" s="13" t="s">
        <v>81</v>
      </c>
    </row>
    <row r="37" customFormat="false" ht="15" hidden="false" customHeight="false" outlineLevel="0" collapsed="false">
      <c r="A37" s="11" t="s">
        <v>82</v>
      </c>
      <c r="B37" s="12" t="n">
        <v>200</v>
      </c>
      <c r="C37" s="13" t="s">
        <v>83</v>
      </c>
    </row>
    <row r="38" customFormat="false" ht="15" hidden="false" customHeight="false" outlineLevel="0" collapsed="false">
      <c r="A38" s="11" t="s">
        <v>84</v>
      </c>
      <c r="B38" s="12" t="n">
        <v>3500</v>
      </c>
      <c r="C38" s="13" t="s">
        <v>85</v>
      </c>
    </row>
    <row r="39" customFormat="false" ht="15" hidden="false" customHeight="false" outlineLevel="0" collapsed="false">
      <c r="A39" s="11" t="s">
        <v>86</v>
      </c>
      <c r="B39" s="12" t="n">
        <v>1500</v>
      </c>
      <c r="C39" s="13" t="s">
        <v>87</v>
      </c>
    </row>
    <row r="40" customFormat="false" ht="15" hidden="false" customHeight="false" outlineLevel="0" collapsed="false">
      <c r="A40" s="11" t="s">
        <v>88</v>
      </c>
      <c r="B40" s="12" t="n">
        <v>5000</v>
      </c>
      <c r="C40" s="13" t="s">
        <v>89</v>
      </c>
    </row>
    <row r="41" customFormat="false" ht="15" hidden="false" customHeight="false" outlineLevel="0" collapsed="false">
      <c r="A41" s="11" t="s">
        <v>90</v>
      </c>
      <c r="B41" s="12" t="n">
        <v>1250</v>
      </c>
      <c r="C41" s="13" t="s">
        <v>91</v>
      </c>
    </row>
    <row r="42" customFormat="false" ht="15" hidden="false" customHeight="false" outlineLevel="0" collapsed="false">
      <c r="A42" s="22" t="s">
        <v>92</v>
      </c>
      <c r="B42" s="23" t="n">
        <f aca="false">SUM(B33:B41)</f>
        <v>12000</v>
      </c>
      <c r="C42" s="13" t="s">
        <v>93</v>
      </c>
    </row>
    <row r="44" customFormat="false" ht="15" hidden="false" customHeight="false" outlineLevel="0" collapsed="false">
      <c r="A44" s="9" t="s">
        <v>94</v>
      </c>
      <c r="B44" s="10"/>
      <c r="C44" s="10"/>
    </row>
    <row r="45" customFormat="false" ht="15" hidden="false" customHeight="false" outlineLevel="0" collapsed="false">
      <c r="A45" s="11" t="s">
        <v>95</v>
      </c>
      <c r="B45" s="14" t="n">
        <v>7</v>
      </c>
      <c r="C45" s="13" t="s">
        <v>96</v>
      </c>
    </row>
    <row r="46" customFormat="false" ht="15" hidden="false" customHeight="false" outlineLevel="0" collapsed="false">
      <c r="A46" s="11" t="s">
        <v>97</v>
      </c>
      <c r="B46" s="17" t="n">
        <v>0.035</v>
      </c>
      <c r="C46" s="13" t="s">
        <v>98</v>
      </c>
    </row>
    <row r="47" customFormat="false" ht="15" hidden="false" customHeight="false" outlineLevel="0" collapsed="false">
      <c r="A47" s="11" t="s">
        <v>99</v>
      </c>
      <c r="B47" s="14" t="n">
        <v>4</v>
      </c>
      <c r="C47" s="13" t="s">
        <v>100</v>
      </c>
    </row>
    <row r="48" customFormat="false" ht="15" hidden="false" customHeight="false" outlineLevel="0" collapsed="false">
      <c r="A48" s="11" t="s">
        <v>101</v>
      </c>
      <c r="B48" s="24" t="n">
        <f aca="false">B45*B46</f>
        <v>0.245</v>
      </c>
      <c r="C48" s="13" t="s">
        <v>102</v>
      </c>
    </row>
    <row r="50" customFormat="false" ht="15" hidden="false" customHeight="false" outlineLevel="0" collapsed="false">
      <c r="A50" s="9" t="s">
        <v>103</v>
      </c>
      <c r="B50" s="10"/>
      <c r="C50" s="10"/>
    </row>
    <row r="51" customFormat="false" ht="15" hidden="false" customHeight="false" outlineLevel="0" collapsed="false">
      <c r="A51" s="11" t="s">
        <v>104</v>
      </c>
      <c r="B51" s="12" t="n">
        <v>12000</v>
      </c>
      <c r="C51" s="13" t="s">
        <v>105</v>
      </c>
    </row>
    <row r="52" customFormat="false" ht="15" hidden="false" customHeight="false" outlineLevel="0" collapsed="false">
      <c r="A52" s="11" t="s">
        <v>106</v>
      </c>
      <c r="B52" s="12" t="n">
        <v>0</v>
      </c>
      <c r="C52" s="13" t="s">
        <v>107</v>
      </c>
    </row>
    <row r="53" customFormat="false" ht="15" hidden="false" customHeight="false" outlineLevel="0" collapsed="false">
      <c r="A53" s="11" t="s">
        <v>108</v>
      </c>
      <c r="B53" s="12" t="n">
        <v>0</v>
      </c>
      <c r="C53" s="13" t="s">
        <v>109</v>
      </c>
    </row>
    <row r="54" customFormat="false" ht="22.35" hidden="false" customHeight="false" outlineLevel="0" collapsed="false">
      <c r="A54" s="11" t="s">
        <v>110</v>
      </c>
      <c r="B54" s="12" t="n">
        <v>2500</v>
      </c>
      <c r="C54" s="13" t="s">
        <v>111</v>
      </c>
    </row>
    <row r="55" customFormat="false" ht="15" hidden="false" customHeight="false" outlineLevel="0" collapsed="false">
      <c r="A55" s="11" t="s">
        <v>112</v>
      </c>
      <c r="B55" s="12" t="n">
        <v>0</v>
      </c>
      <c r="C55" s="13" t="s">
        <v>113</v>
      </c>
    </row>
    <row r="56" customFormat="false" ht="22.35" hidden="false" customHeight="false" outlineLevel="0" collapsed="false">
      <c r="A56" s="11" t="s">
        <v>114</v>
      </c>
      <c r="B56" s="12" t="n">
        <v>57000</v>
      </c>
      <c r="C56" s="13" t="s">
        <v>115</v>
      </c>
    </row>
    <row r="57" customFormat="false" ht="22.35" hidden="false" customHeight="false" outlineLevel="0" collapsed="false">
      <c r="A57" s="11" t="s">
        <v>116</v>
      </c>
      <c r="B57" s="12" t="n">
        <v>30500</v>
      </c>
      <c r="C57" s="13" t="s">
        <v>117</v>
      </c>
    </row>
    <row r="58" customFormat="false" ht="15" hidden="false" customHeight="false" outlineLevel="0" collapsed="false">
      <c r="A58" s="22" t="s">
        <v>118</v>
      </c>
      <c r="B58" s="23" t="n">
        <f aca="false">SUM(B51:B57)</f>
        <v>102000</v>
      </c>
      <c r="C58" s="13" t="s">
        <v>119</v>
      </c>
    </row>
    <row r="59" customFormat="false" ht="15" hidden="false" customHeight="false" outlineLevel="0" collapsed="false">
      <c r="A59" s="11" t="s">
        <v>120</v>
      </c>
      <c r="B59" s="12" t="n">
        <v>150000</v>
      </c>
      <c r="C59" s="13" t="s">
        <v>121</v>
      </c>
    </row>
    <row r="61" customFormat="false" ht="15" hidden="false" customHeight="false" outlineLevel="0" collapsed="false">
      <c r="A61" s="9" t="s">
        <v>122</v>
      </c>
      <c r="B61" s="10"/>
      <c r="C61" s="10"/>
    </row>
    <row r="62" customFormat="false" ht="15" hidden="false" customHeight="false" outlineLevel="0" collapsed="false">
      <c r="A62" s="11" t="s">
        <v>123</v>
      </c>
      <c r="B62" s="25" t="n">
        <v>0.1365</v>
      </c>
      <c r="C62" s="13" t="s">
        <v>124</v>
      </c>
    </row>
    <row r="63" customFormat="false" ht="32.8" hidden="false" customHeight="false" outlineLevel="0" collapsed="false">
      <c r="A63" s="11" t="s">
        <v>125</v>
      </c>
      <c r="B63" s="25" t="n">
        <v>0.1035</v>
      </c>
      <c r="C63" s="13" t="s">
        <v>126</v>
      </c>
    </row>
    <row r="64" customFormat="false" ht="15" hidden="false" customHeight="false" outlineLevel="0" collapsed="false">
      <c r="A64" s="22" t="s">
        <v>127</v>
      </c>
      <c r="B64" s="26" t="n">
        <f aca="false">B62+B63</f>
        <v>0.24</v>
      </c>
      <c r="C64" s="13" t="s">
        <v>128</v>
      </c>
    </row>
    <row r="66" customFormat="false" ht="15" hidden="false" customHeight="false" outlineLevel="0" collapsed="false">
      <c r="A66" s="9" t="s">
        <v>129</v>
      </c>
      <c r="B66" s="10"/>
      <c r="C66" s="10"/>
    </row>
    <row r="67" customFormat="false" ht="15" hidden="false" customHeight="false" outlineLevel="0" collapsed="false">
      <c r="A67" s="22" t="s">
        <v>130</v>
      </c>
      <c r="B67" s="27" t="n">
        <f aca="false">(B59-B58)/B42</f>
        <v>4</v>
      </c>
      <c r="C67" s="13" t="s">
        <v>131</v>
      </c>
    </row>
    <row r="68" customFormat="false" ht="15" hidden="false" customHeight="false" outlineLevel="0" collapsed="false">
      <c r="A68" s="22" t="s">
        <v>132</v>
      </c>
      <c r="B68" s="28" t="n">
        <f aca="false">IFERROR(INDEX('Projeção Mensal'!A6:A29,MATCH("Sim",'Projeção Mensal'!AC6:AC29,0)),"Não atinge")</f>
        <v>3</v>
      </c>
      <c r="C68" s="13" t="s">
        <v>133</v>
      </c>
    </row>
    <row r="69" customFormat="false" ht="15" hidden="false" customHeight="false" outlineLevel="0" collapsed="false">
      <c r="A69" s="22" t="s">
        <v>134</v>
      </c>
      <c r="B69" s="29" t="n">
        <f aca="false">'Necessidade de Caixa e Payback'!F32</f>
        <v>118526.3</v>
      </c>
      <c r="C69" s="13" t="s">
        <v>135</v>
      </c>
    </row>
    <row r="70" customFormat="false" ht="15" hidden="false" customHeight="false" outlineLevel="0" collapsed="false">
      <c r="A70" s="22" t="s">
        <v>136</v>
      </c>
      <c r="B70" s="29" t="n">
        <f aca="false">B59-B69</f>
        <v>31473.7</v>
      </c>
      <c r="C70" s="13" t="s">
        <v>137</v>
      </c>
    </row>
    <row r="71" customFormat="false" ht="15" hidden="false" customHeight="false" outlineLevel="0" collapsed="false">
      <c r="A71" s="22" t="s">
        <v>138</v>
      </c>
      <c r="B71" s="29" t="n">
        <f aca="false">'VPL e TIR'!B38</f>
        <v>1220849.27316493</v>
      </c>
      <c r="C71" s="13" t="s">
        <v>139</v>
      </c>
    </row>
    <row r="72" customFormat="false" ht="15" hidden="false" customHeight="false" outlineLevel="0" collapsed="false">
      <c r="A72" s="22" t="s">
        <v>140</v>
      </c>
      <c r="B72" s="30" t="n">
        <f aca="false">'VPL e TIR'!B40</f>
        <v>7.58827927379579</v>
      </c>
      <c r="C72" s="13" t="s">
        <v>141</v>
      </c>
    </row>
    <row r="73" customFormat="false" ht="15" hidden="false" customHeight="false" outlineLevel="0" collapsed="false">
      <c r="A73" s="22" t="s">
        <v>142</v>
      </c>
      <c r="B73" s="31" t="n">
        <f aca="false">'VPL e TIR'!B43</f>
        <v>9</v>
      </c>
      <c r="C73" s="13" t="s">
        <v>143</v>
      </c>
    </row>
    <row r="74" customFormat="false" ht="15" hidden="false" customHeight="false" outlineLevel="0" collapsed="false">
      <c r="A74" s="22" t="s">
        <v>144</v>
      </c>
      <c r="B74" s="31" t="n">
        <f aca="false">'VPL e TIR'!B44</f>
        <v>10</v>
      </c>
      <c r="C74" s="13" t="s">
        <v>145</v>
      </c>
    </row>
    <row r="75" customFormat="false" ht="15" hidden="false" customHeight="false" outlineLevel="0" collapsed="false">
      <c r="A75" s="22" t="s">
        <v>146</v>
      </c>
      <c r="B75" s="29" t="n">
        <f aca="false">AVERAGE('Projeção Mensal'!AB18:AB29)</f>
        <v>16182.9179166667</v>
      </c>
      <c r="C75" s="13" t="s">
        <v>147</v>
      </c>
    </row>
    <row r="77" customFormat="false" ht="15" hidden="false" customHeight="false" outlineLevel="0" collapsed="false">
      <c r="A77" s="9" t="s">
        <v>148</v>
      </c>
      <c r="B77" s="10"/>
      <c r="C77" s="10"/>
    </row>
    <row r="78" customFormat="false" ht="15" hidden="false" customHeight="false" outlineLevel="0" collapsed="false">
      <c r="A78" s="18" t="s">
        <v>149</v>
      </c>
      <c r="B78" s="18" t="s">
        <v>150</v>
      </c>
      <c r="C78" s="18" t="s">
        <v>151</v>
      </c>
    </row>
    <row r="79" customFormat="false" ht="15" hidden="false" customHeight="false" outlineLevel="0" collapsed="false">
      <c r="A79" s="32" t="n">
        <v>0.2</v>
      </c>
      <c r="B79" s="15" t="n">
        <f aca="false">'Fluxo de Caixa'!$G$5+NPV((1+A79)^(1/12)-1,'Fluxo de Caixa'!$G$6:$G$29)</f>
        <v>1286099.96749722</v>
      </c>
      <c r="C79" s="33" t="str">
        <f aca="false">IF(B79&gt;0,"Viável a esta taxa","Inviável a esta taxa")</f>
        <v>Viável a esta taxa</v>
      </c>
    </row>
    <row r="80" customFormat="false" ht="15" hidden="false" customHeight="false" outlineLevel="0" collapsed="false">
      <c r="A80" s="32" t="n">
        <v>0.24</v>
      </c>
      <c r="B80" s="15" t="n">
        <f aca="false">'Fluxo de Caixa'!$G$5+NPV((1+A80)^(1/12)-1,'Fluxo de Caixa'!$G$6:$G$29)</f>
        <v>1220849.27316493</v>
      </c>
      <c r="C80" s="33" t="str">
        <f aca="false">IF(B80&gt;0,"Viável a esta taxa","Inviável a esta taxa")</f>
        <v>Viável a esta taxa</v>
      </c>
    </row>
    <row r="81" customFormat="false" ht="15" hidden="false" customHeight="false" outlineLevel="0" collapsed="false">
      <c r="A81" s="32" t="n">
        <v>0.27</v>
      </c>
      <c r="B81" s="15" t="n">
        <f aca="false">'Fluxo de Caixa'!$G$5+NPV((1+A81)^(1/12)-1,'Fluxo de Caixa'!$G$6:$G$29)</f>
        <v>1175351.02045601</v>
      </c>
      <c r="C81" s="33" t="str">
        <f aca="false">IF(B81&gt;0,"Viável a esta taxa","Inviável a esta taxa")</f>
        <v>Viável a esta taxa</v>
      </c>
    </row>
    <row r="82" customFormat="false" ht="15" hidden="false" customHeight="false" outlineLevel="0" collapsed="false">
      <c r="A82" s="32" t="n">
        <v>0.29</v>
      </c>
      <c r="B82" s="15" t="n">
        <f aca="false">'Fluxo de Caixa'!$G$5+NPV((1+A82)^(1/12)-1,'Fluxo de Caixa'!$G$6:$G$29)</f>
        <v>1146519.86557567</v>
      </c>
      <c r="C82" s="33" t="str">
        <f aca="false">IF(B82&gt;0,"Viável a esta taxa","Inviável a esta taxa")</f>
        <v>Viável a esta taxa</v>
      </c>
    </row>
    <row r="83" customFormat="false" ht="15" hidden="false" customHeight="false" outlineLevel="0" collapsed="false">
      <c r="A83" s="32" t="n">
        <v>0.33</v>
      </c>
      <c r="B83" s="15" t="n">
        <f aca="false">'Fluxo de Caixa'!$G$5+NPV((1+A83)^(1/12)-1,'Fluxo de Caixa'!$G$6:$G$29)</f>
        <v>1092168.30974953</v>
      </c>
      <c r="C83" s="33" t="str">
        <f aca="false">IF(B83&gt;0,"Viável a esta taxa","Inviável a esta taxa")</f>
        <v>Viável a esta taxa</v>
      </c>
    </row>
    <row r="84" customFormat="false" ht="15" hidden="false" customHeight="false" outlineLevel="0" collapsed="false">
      <c r="A84" s="21" t="s">
        <v>152</v>
      </c>
    </row>
    <row r="86" customFormat="false" ht="15" hidden="false" customHeight="false" outlineLevel="0" collapsed="false">
      <c r="A86" s="9" t="s">
        <v>153</v>
      </c>
      <c r="B86" s="10"/>
      <c r="C86" s="10"/>
    </row>
    <row r="87" customFormat="false" ht="15" hidden="false" customHeight="false" outlineLevel="0" collapsed="false">
      <c r="A87" s="11" t="s">
        <v>154</v>
      </c>
      <c r="B87" s="16" t="s">
        <v>155</v>
      </c>
      <c r="C87" s="13" t="s">
        <v>156</v>
      </c>
    </row>
    <row r="88" customFormat="false" ht="22.35" hidden="false" customHeight="false" outlineLevel="0" collapsed="false">
      <c r="A88" s="11" t="s">
        <v>157</v>
      </c>
      <c r="B88" s="17" t="n">
        <v>0.05</v>
      </c>
      <c r="C88" s="13" t="s">
        <v>158</v>
      </c>
    </row>
    <row r="89" customFormat="false" ht="22.35" hidden="false" customHeight="false" outlineLevel="0" collapsed="false">
      <c r="A89" s="11" t="s">
        <v>159</v>
      </c>
      <c r="B89" s="17" t="n">
        <v>0.03</v>
      </c>
      <c r="C89" s="13" t="s">
        <v>160</v>
      </c>
    </row>
    <row r="90" customFormat="false" ht="15" hidden="false" customHeight="false" outlineLevel="0" collapsed="false">
      <c r="A90" s="11" t="s">
        <v>161</v>
      </c>
      <c r="B90" s="12" t="n">
        <v>150</v>
      </c>
      <c r="C90" s="13" t="s">
        <v>162</v>
      </c>
    </row>
    <row r="91" customFormat="false" ht="15" hidden="false" customHeight="false" outlineLevel="0" collapsed="false">
      <c r="A91" s="11" t="s">
        <v>163</v>
      </c>
      <c r="B91" s="12" t="n">
        <v>1000</v>
      </c>
      <c r="C91" s="13" t="s">
        <v>164</v>
      </c>
    </row>
    <row r="92" customFormat="false" ht="15" hidden="false" customHeight="false" outlineLevel="0" collapsed="false">
      <c r="A92" s="11" t="s">
        <v>165</v>
      </c>
      <c r="B92" s="14" t="n">
        <v>1</v>
      </c>
      <c r="C92" s="13" t="s">
        <v>166</v>
      </c>
    </row>
    <row r="93" customFormat="false" ht="15" hidden="false" customHeight="false" outlineLevel="0" collapsed="false">
      <c r="A93" s="11" t="s">
        <v>167</v>
      </c>
      <c r="B93" s="14" t="n">
        <v>3</v>
      </c>
      <c r="C93" s="13" t="s">
        <v>168</v>
      </c>
    </row>
    <row r="95" customFormat="false" ht="15" hidden="false" customHeight="false" outlineLevel="0" collapsed="false">
      <c r="A95" s="9" t="s">
        <v>169</v>
      </c>
      <c r="B95" s="10"/>
      <c r="C95" s="10"/>
    </row>
    <row r="96" customFormat="false" ht="15" hidden="false" customHeight="false" outlineLevel="0" collapsed="false">
      <c r="A96" s="11" t="s">
        <v>170</v>
      </c>
      <c r="B96" s="12" t="n">
        <v>4800000</v>
      </c>
      <c r="C96" s="13" t="s">
        <v>171</v>
      </c>
    </row>
    <row r="97" customFormat="false" ht="15" hidden="false" customHeight="false" outlineLevel="0" collapsed="false">
      <c r="A97" s="11" t="s">
        <v>172</v>
      </c>
      <c r="B97" s="17" t="n">
        <v>0.32</v>
      </c>
      <c r="C97" s="13" t="s">
        <v>173</v>
      </c>
    </row>
    <row r="98" customFormat="false" ht="15" hidden="false" customHeight="false" outlineLevel="0" collapsed="false">
      <c r="A98" s="11" t="s">
        <v>174</v>
      </c>
      <c r="B98" s="17" t="n">
        <v>0.15</v>
      </c>
      <c r="C98" s="13" t="s">
        <v>175</v>
      </c>
    </row>
    <row r="99" customFormat="false" ht="15" hidden="false" customHeight="false" outlineLevel="0" collapsed="false">
      <c r="A99" s="11" t="s">
        <v>176</v>
      </c>
      <c r="B99" s="17" t="n">
        <v>0.09</v>
      </c>
      <c r="C99" s="13" t="s">
        <v>177</v>
      </c>
    </row>
    <row r="100" customFormat="false" ht="15" hidden="false" customHeight="false" outlineLevel="0" collapsed="false">
      <c r="A100" s="11" t="s">
        <v>178</v>
      </c>
      <c r="B100" s="17" t="n">
        <v>0.0365</v>
      </c>
      <c r="C100" s="13" t="s">
        <v>179</v>
      </c>
    </row>
    <row r="101" customFormat="false" ht="22.35" hidden="false" customHeight="false" outlineLevel="0" collapsed="false">
      <c r="A101" s="11" t="s">
        <v>180</v>
      </c>
      <c r="B101" s="17" t="n">
        <v>0.05</v>
      </c>
      <c r="C101" s="13" t="s">
        <v>181</v>
      </c>
    </row>
    <row r="102" customFormat="false" ht="22.35" hidden="false" customHeight="false" outlineLevel="0" collapsed="false">
      <c r="A102" s="11" t="s">
        <v>182</v>
      </c>
      <c r="B102" s="12" t="n">
        <v>3600000</v>
      </c>
      <c r="C102" s="13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7" min="2" style="0" width="10"/>
    <col collapsed="false" customWidth="true" hidden="false" outlineLevel="0" max="10" min="8" style="0" width="14"/>
    <col collapsed="false" customWidth="true" hidden="false" outlineLevel="0" max="12" min="11" style="0" width="15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20" min="16" style="0" width="13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5"/>
    <col collapsed="false" customWidth="true" hidden="false" outlineLevel="0" max="24" min="24" style="0" width="13"/>
    <col collapsed="false" customWidth="true" hidden="false" outlineLevel="0" max="25" min="25" style="0" width="14"/>
    <col collapsed="false" customWidth="true" hidden="false" outlineLevel="0" max="27" min="26" style="0" width="15"/>
    <col collapsed="false" customWidth="true" hidden="false" outlineLevel="0" max="28" min="28" style="0" width="13"/>
    <col collapsed="false" customWidth="true" hidden="false" outlineLevel="0" max="29" min="29" style="0" width="10"/>
  </cols>
  <sheetData>
    <row r="1" customFormat="false" ht="21.75" hidden="false" customHeight="true" outlineLevel="0" collapsed="false">
      <c r="A1" s="6" t="s">
        <v>184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false" outlineLevel="0" collapsed="false">
      <c r="A2" s="8" t="s">
        <v>185</v>
      </c>
    </row>
    <row r="4" customFormat="false" ht="54" hidden="false" customHeight="true" outlineLevel="0" collapsed="false">
      <c r="A4" s="18" t="s">
        <v>186</v>
      </c>
      <c r="B4" s="18" t="s">
        <v>187</v>
      </c>
      <c r="C4" s="18" t="s">
        <v>188</v>
      </c>
      <c r="D4" s="18" t="s">
        <v>189</v>
      </c>
      <c r="E4" s="18" t="s">
        <v>190</v>
      </c>
      <c r="F4" s="18" t="s">
        <v>191</v>
      </c>
      <c r="G4" s="18" t="s">
        <v>192</v>
      </c>
      <c r="H4" s="18" t="s">
        <v>193</v>
      </c>
      <c r="I4" s="18" t="s">
        <v>194</v>
      </c>
      <c r="J4" s="18" t="s">
        <v>195</v>
      </c>
      <c r="K4" s="18" t="s">
        <v>196</v>
      </c>
      <c r="L4" s="18" t="s">
        <v>197</v>
      </c>
      <c r="M4" s="18" t="s">
        <v>198</v>
      </c>
      <c r="N4" s="18" t="s">
        <v>199</v>
      </c>
      <c r="O4" s="18" t="s">
        <v>200</v>
      </c>
      <c r="P4" s="18" t="s">
        <v>201</v>
      </c>
      <c r="Q4" s="18" t="s">
        <v>202</v>
      </c>
      <c r="R4" s="18" t="s">
        <v>203</v>
      </c>
      <c r="S4" s="18" t="s">
        <v>204</v>
      </c>
      <c r="T4" s="18" t="s">
        <v>205</v>
      </c>
      <c r="U4" s="18" t="s">
        <v>206</v>
      </c>
      <c r="V4" s="18" t="s">
        <v>207</v>
      </c>
      <c r="W4" s="18" t="s">
        <v>208</v>
      </c>
      <c r="X4" s="18" t="s">
        <v>209</v>
      </c>
      <c r="Y4" s="18" t="s">
        <v>210</v>
      </c>
      <c r="Z4" s="18" t="s">
        <v>211</v>
      </c>
      <c r="AA4" s="18" t="s">
        <v>212</v>
      </c>
      <c r="AB4" s="18" t="s">
        <v>213</v>
      </c>
      <c r="AC4" s="18" t="s">
        <v>214</v>
      </c>
    </row>
    <row r="5" customFormat="false" ht="15" hidden="false" customHeight="false" outlineLevel="0" collapsed="false">
      <c r="A5" s="34" t="n">
        <v>0</v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  <c r="G5" s="3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36" t="s">
        <v>215</v>
      </c>
      <c r="N5" s="33"/>
      <c r="O5" s="15" t="n">
        <v>0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36" t="s">
        <v>215</v>
      </c>
    </row>
    <row r="6" customFormat="false" ht="15" hidden="false" customHeight="false" outlineLevel="0" collapsed="false">
      <c r="A6" s="34" t="n">
        <v>1</v>
      </c>
      <c r="B6" s="37" t="n">
        <v>3</v>
      </c>
      <c r="C6" s="38" t="n">
        <f aca="false">C5-ROUND(C5*'Premissas Precept'!$B$89,0)+B6</f>
        <v>3</v>
      </c>
      <c r="D6" s="37" t="n">
        <v>0</v>
      </c>
      <c r="E6" s="37" t="n">
        <v>0</v>
      </c>
      <c r="F6" s="38" t="n">
        <f aca="false">D6*'Premissas Precept'!$B$92+SUMPRODUCT(($A$6:$A$29&gt;A6-'Premissas Precept'!$B$93)*($A$6:$A$29&lt;=A6)*$E$6:$E$29)</f>
        <v>0</v>
      </c>
      <c r="G6" s="38" t="n">
        <f aca="false">MAX(0,C6-F6)</f>
        <v>3</v>
      </c>
      <c r="H6" s="15" t="n">
        <f aca="false">G6*'Premissas Precept'!$B$8</f>
        <v>5988</v>
      </c>
      <c r="I6" s="15" t="n">
        <f aca="false">D6*'Premissas Precept'!$B$9</f>
        <v>0</v>
      </c>
      <c r="J6" s="15" t="n">
        <f aca="false">E6*'Premissas Precept'!$B$10</f>
        <v>0</v>
      </c>
      <c r="K6" s="23" t="n">
        <f aca="false">H6+I6+J6</f>
        <v>5988</v>
      </c>
      <c r="L6" s="15" t="n">
        <f aca="false">K6*12</f>
        <v>71856</v>
      </c>
      <c r="M6" s="36" t="str">
        <f aca="false">IF(L6&lt;='Premissas Precept'!$B$96,"Simples","Presumido")</f>
        <v>Simples</v>
      </c>
      <c r="N6" s="39" t="n">
        <f aca="false">IF(M6="Simples",IF(L6&lt;=0,'Premissas Precept'!$C$24,(L6*LOOKUP(L6,'Premissas Precept'!$B$24:$B$29,'Premissas Precept'!$C$24:$C$29)-LOOKUP(L6,'Premissas Precept'!$B$24:$B$29,'Premissas Precept'!$D$24:$D$29))/L6)+IF(L6&gt;'Premissas Precept'!$B$102,'Premissas Precept'!$B$101,0),(('Premissas Precept'!$B$98+'Premissas Precept'!$B$99)*'Premissas Precept'!$B$97*K6+0.1*MAX(0,'Premissas Precept'!$B$97*K6-20000)+('Premissas Precept'!$B$100+'Premissas Precept'!$B$101)*K6)/K6)</f>
        <v>0.155</v>
      </c>
      <c r="O6" s="15" t="n">
        <f aca="false">K6*N6</f>
        <v>928.14</v>
      </c>
      <c r="P6" s="15" t="n">
        <f aca="false">C6*'Premissas Precept'!$B$15</f>
        <v>270</v>
      </c>
      <c r="Q6" s="15" t="n">
        <f aca="false">C6*'Premissas Precept'!$B$90</f>
        <v>450</v>
      </c>
      <c r="R6" s="15" t="n">
        <f aca="false">K6*'Premissas Precept'!$B$16</f>
        <v>119.76</v>
      </c>
      <c r="S6" s="15" t="n">
        <f aca="false">B6*'Premissas Precept'!$B$91</f>
        <v>3000</v>
      </c>
      <c r="T6" s="15" t="n">
        <f aca="false">(I6+J6)*'Premissas Precept'!$B$17</f>
        <v>0</v>
      </c>
      <c r="U6" s="15" t="n">
        <f aca="false">(I6+J6)*'Premissas Precept'!$B$18</f>
        <v>0</v>
      </c>
      <c r="V6" s="15" t="n">
        <f aca="false">D6*'Premissas Precept'!$B$19+E6*'Premissas Precept'!$B$20</f>
        <v>0</v>
      </c>
      <c r="W6" s="23" t="n">
        <f aca="false">SUM(O6:V6)</f>
        <v>4767.9</v>
      </c>
      <c r="X6" s="15" t="n">
        <f aca="false">'Premissas Precept'!$B$42</f>
        <v>12000</v>
      </c>
      <c r="Y6" s="15" t="n">
        <f aca="false">IF(A6&gt;='Premissas Precept'!$B$47,'Premissas Precept'!$B$48*K6,0)</f>
        <v>0</v>
      </c>
      <c r="Z6" s="23" t="n">
        <f aca="false">X6+Y6</f>
        <v>12000</v>
      </c>
      <c r="AA6" s="23" t="n">
        <f aca="false">K6-W6-Z6</f>
        <v>-10779.9</v>
      </c>
      <c r="AB6" s="15" t="n">
        <f aca="false">Y6/'Premissas Precept'!$B$45</f>
        <v>0</v>
      </c>
      <c r="AC6" s="36" t="str">
        <f aca="false">IF(AA6&gt;=0,"Sim","Não")</f>
        <v>Não</v>
      </c>
    </row>
    <row r="7" customFormat="false" ht="15" hidden="false" customHeight="false" outlineLevel="0" collapsed="false">
      <c r="A7" s="34" t="n">
        <v>2</v>
      </c>
      <c r="B7" s="37" t="n">
        <v>5</v>
      </c>
      <c r="C7" s="38" t="n">
        <f aca="false">C6-ROUND(C6*'Premissas Precept'!$B$89,0)+B7</f>
        <v>8</v>
      </c>
      <c r="D7" s="37" t="n">
        <v>0</v>
      </c>
      <c r="E7" s="37" t="n">
        <v>0</v>
      </c>
      <c r="F7" s="38" t="n">
        <f aca="false">D7*'Premissas Precept'!$B$92+SUMPRODUCT(($A$6:$A$29&gt;A7-'Premissas Precept'!$B$93)*($A$6:$A$29&lt;=A7)*$E$6:$E$29)</f>
        <v>0</v>
      </c>
      <c r="G7" s="38" t="n">
        <f aca="false">MAX(0,C7-F7)</f>
        <v>8</v>
      </c>
      <c r="H7" s="15" t="n">
        <f aca="false">G7*'Premissas Precept'!$B$8</f>
        <v>15968</v>
      </c>
      <c r="I7" s="15" t="n">
        <f aca="false">D7*'Premissas Precept'!$B$9</f>
        <v>0</v>
      </c>
      <c r="J7" s="15" t="n">
        <f aca="false">E7*'Premissas Precept'!$B$10</f>
        <v>0</v>
      </c>
      <c r="K7" s="23" t="n">
        <f aca="false">H7+I7+J7</f>
        <v>15968</v>
      </c>
      <c r="L7" s="15" t="n">
        <f aca="false">AVERAGE(K$6:K6)*12</f>
        <v>71856</v>
      </c>
      <c r="M7" s="36" t="str">
        <f aca="false">IF(L7&lt;='Premissas Precept'!$B$96,"Simples","Presumido")</f>
        <v>Simples</v>
      </c>
      <c r="N7" s="39" t="n">
        <f aca="false">IF(M7="Simples",IF(L7&lt;=0,'Premissas Precept'!$C$24,(L7*LOOKUP(L7,'Premissas Precept'!$B$24:$B$29,'Premissas Precept'!$C$24:$C$29)-LOOKUP(L7,'Premissas Precept'!$B$24:$B$29,'Premissas Precept'!$D$24:$D$29))/L7)+IF(L7&gt;'Premissas Precept'!$B$102,'Premissas Precept'!$B$101,0),(('Premissas Precept'!$B$98+'Premissas Precept'!$B$99)*'Premissas Precept'!$B$97*K7+0.1*MAX(0,'Premissas Precept'!$B$97*K7-20000)+('Premissas Precept'!$B$100+'Premissas Precept'!$B$101)*K7)/K7)</f>
        <v>0.155</v>
      </c>
      <c r="O7" s="15" t="n">
        <f aca="false">K7*N7</f>
        <v>2475.04</v>
      </c>
      <c r="P7" s="15" t="n">
        <f aca="false">C7*'Premissas Precept'!$B$15</f>
        <v>720</v>
      </c>
      <c r="Q7" s="15" t="n">
        <f aca="false">C7*'Premissas Precept'!$B$90</f>
        <v>1200</v>
      </c>
      <c r="R7" s="15" t="n">
        <f aca="false">K7*'Premissas Precept'!$B$16</f>
        <v>319.36</v>
      </c>
      <c r="S7" s="15" t="n">
        <f aca="false">B7*'Premissas Precept'!$B$91</f>
        <v>5000</v>
      </c>
      <c r="T7" s="15" t="n">
        <f aca="false">(I7+J7)*'Premissas Precept'!$B$17</f>
        <v>0</v>
      </c>
      <c r="U7" s="15" t="n">
        <f aca="false">(I7+J7)*'Premissas Precept'!$B$18</f>
        <v>0</v>
      </c>
      <c r="V7" s="15" t="n">
        <f aca="false">D7*'Premissas Precept'!$B$19+E7*'Premissas Precept'!$B$20</f>
        <v>0</v>
      </c>
      <c r="W7" s="23" t="n">
        <f aca="false">SUM(O7:V7)</f>
        <v>9714.4</v>
      </c>
      <c r="X7" s="15" t="n">
        <f aca="false">'Premissas Precept'!$B$42</f>
        <v>12000</v>
      </c>
      <c r="Y7" s="15" t="n">
        <f aca="false">IF(A7&gt;='Premissas Precept'!$B$47,'Premissas Precept'!$B$48*K7,0)</f>
        <v>0</v>
      </c>
      <c r="Z7" s="23" t="n">
        <f aca="false">X7+Y7</f>
        <v>12000</v>
      </c>
      <c r="AA7" s="23" t="n">
        <f aca="false">K7-W7-Z7</f>
        <v>-5746.4</v>
      </c>
      <c r="AB7" s="15" t="n">
        <f aca="false">Y7/'Premissas Precept'!$B$45</f>
        <v>0</v>
      </c>
      <c r="AC7" s="36" t="str">
        <f aca="false">IF(AA7&gt;=0,"Sim","Não")</f>
        <v>Não</v>
      </c>
    </row>
    <row r="8" customFormat="false" ht="15" hidden="false" customHeight="false" outlineLevel="0" collapsed="false">
      <c r="A8" s="34" t="n">
        <v>3</v>
      </c>
      <c r="B8" s="37" t="n">
        <v>7</v>
      </c>
      <c r="C8" s="38" t="n">
        <f aca="false">C7-ROUND(C7*'Premissas Precept'!$B$89,0)+B8</f>
        <v>15</v>
      </c>
      <c r="D8" s="37" t="n">
        <v>0</v>
      </c>
      <c r="E8" s="37" t="n">
        <v>0</v>
      </c>
      <c r="F8" s="38" t="n">
        <f aca="false">D8*'Premissas Precept'!$B$92+SUMPRODUCT(($A$6:$A$29&gt;A8-'Premissas Precept'!$B$93)*($A$6:$A$29&lt;=A8)*$E$6:$E$29)</f>
        <v>0</v>
      </c>
      <c r="G8" s="38" t="n">
        <f aca="false">MAX(0,C8-F8)</f>
        <v>15</v>
      </c>
      <c r="H8" s="15" t="n">
        <f aca="false">G8*'Premissas Precept'!$B$8</f>
        <v>29940</v>
      </c>
      <c r="I8" s="15" t="n">
        <f aca="false">D8*'Premissas Precept'!$B$9</f>
        <v>0</v>
      </c>
      <c r="J8" s="15" t="n">
        <f aca="false">E8*'Premissas Precept'!$B$10</f>
        <v>0</v>
      </c>
      <c r="K8" s="23" t="n">
        <f aca="false">H8+I8+J8</f>
        <v>29940</v>
      </c>
      <c r="L8" s="15" t="n">
        <f aca="false">AVERAGE(K$6:K7)*12</f>
        <v>131736</v>
      </c>
      <c r="M8" s="36" t="str">
        <f aca="false">IF(L8&lt;='Premissas Precept'!$B$96,"Simples","Presumido")</f>
        <v>Simples</v>
      </c>
      <c r="N8" s="39" t="n">
        <f aca="false">IF(M8="Simples",IF(L8&lt;=0,'Premissas Precept'!$C$24,(L8*LOOKUP(L8,'Premissas Precept'!$B$24:$B$29,'Premissas Precept'!$C$24:$C$29)-LOOKUP(L8,'Premissas Precept'!$B$24:$B$29,'Premissas Precept'!$D$24:$D$29))/L8)+IF(L8&gt;'Premissas Precept'!$B$102,'Premissas Precept'!$B$101,0),(('Premissas Precept'!$B$98+'Premissas Precept'!$B$99)*'Premissas Precept'!$B$97*K8+0.1*MAX(0,'Premissas Precept'!$B$97*K8-20000)+('Premissas Precept'!$B$100+'Premissas Precept'!$B$101)*K8)/K8)</f>
        <v>0.155</v>
      </c>
      <c r="O8" s="15" t="n">
        <f aca="false">K8*N8</f>
        <v>4640.7</v>
      </c>
      <c r="P8" s="15" t="n">
        <f aca="false">C8*'Premissas Precept'!$B$15</f>
        <v>1350</v>
      </c>
      <c r="Q8" s="15" t="n">
        <f aca="false">C8*'Premissas Precept'!$B$90</f>
        <v>2250</v>
      </c>
      <c r="R8" s="15" t="n">
        <f aca="false">K8*'Premissas Precept'!$B$16</f>
        <v>598.8</v>
      </c>
      <c r="S8" s="15" t="n">
        <f aca="false">B8*'Premissas Precept'!$B$91</f>
        <v>7000</v>
      </c>
      <c r="T8" s="15" t="n">
        <f aca="false">(I8+J8)*'Premissas Precept'!$B$17</f>
        <v>0</v>
      </c>
      <c r="U8" s="15" t="n">
        <f aca="false">(I8+J8)*'Premissas Precept'!$B$18</f>
        <v>0</v>
      </c>
      <c r="V8" s="15" t="n">
        <f aca="false">D8*'Premissas Precept'!$B$19+E8*'Premissas Precept'!$B$20</f>
        <v>0</v>
      </c>
      <c r="W8" s="23" t="n">
        <f aca="false">SUM(O8:V8)</f>
        <v>15839.5</v>
      </c>
      <c r="X8" s="15" t="n">
        <f aca="false">'Premissas Precept'!$B$42</f>
        <v>12000</v>
      </c>
      <c r="Y8" s="15" t="n">
        <f aca="false">IF(A8&gt;='Premissas Precept'!$B$47,'Premissas Precept'!$B$48*K8,0)</f>
        <v>0</v>
      </c>
      <c r="Z8" s="23" t="n">
        <f aca="false">X8+Y8</f>
        <v>12000</v>
      </c>
      <c r="AA8" s="23" t="n">
        <f aca="false">K8-W8-Z8</f>
        <v>2100.5</v>
      </c>
      <c r="AB8" s="15" t="n">
        <f aca="false">Y8/'Premissas Precept'!$B$45</f>
        <v>0</v>
      </c>
      <c r="AC8" s="36" t="str">
        <f aca="false">IF(AA8&gt;=0,"Sim","Não")</f>
        <v>Sim</v>
      </c>
    </row>
    <row r="9" customFormat="false" ht="15" hidden="false" customHeight="false" outlineLevel="0" collapsed="false">
      <c r="A9" s="34" t="n">
        <v>4</v>
      </c>
      <c r="B9" s="37" t="n">
        <v>10</v>
      </c>
      <c r="C9" s="38" t="n">
        <f aca="false">C8-ROUND(C8*'Premissas Precept'!$B$89,0)+B9</f>
        <v>25</v>
      </c>
      <c r="D9" s="37" t="n">
        <v>1</v>
      </c>
      <c r="E9" s="37" t="n">
        <v>0</v>
      </c>
      <c r="F9" s="38" t="n">
        <f aca="false">D9*'Premissas Precept'!$B$92+SUMPRODUCT(($A$6:$A$29&gt;A9-'Premissas Precept'!$B$93)*($A$6:$A$29&lt;=A9)*$E$6:$E$29)</f>
        <v>1</v>
      </c>
      <c r="G9" s="38" t="n">
        <f aca="false">MAX(0,C9-F9)</f>
        <v>24</v>
      </c>
      <c r="H9" s="15" t="n">
        <f aca="false">G9*'Premissas Precept'!$B$8</f>
        <v>47904</v>
      </c>
      <c r="I9" s="15" t="n">
        <f aca="false">D9*'Premissas Precept'!$B$9</f>
        <v>9997</v>
      </c>
      <c r="J9" s="15" t="n">
        <f aca="false">E9*'Premissas Precept'!$B$10</f>
        <v>0</v>
      </c>
      <c r="K9" s="23" t="n">
        <f aca="false">H9+I9+J9</f>
        <v>57901</v>
      </c>
      <c r="L9" s="15" t="n">
        <f aca="false">AVERAGE(K$6:K8)*12</f>
        <v>207584</v>
      </c>
      <c r="M9" s="36" t="str">
        <f aca="false">IF(L9&lt;='Premissas Precept'!$B$96,"Simples","Presumido")</f>
        <v>Simples</v>
      </c>
      <c r="N9" s="39" t="n">
        <f aca="false">IF(M9="Simples",IF(L9&lt;=0,'Premissas Precept'!$C$24,(L9*LOOKUP(L9,'Premissas Precept'!$B$24:$B$29,'Premissas Precept'!$C$24:$C$29)-LOOKUP(L9,'Premissas Precept'!$B$24:$B$29,'Premissas Precept'!$D$24:$D$29))/L9)+IF(L9&gt;'Premissas Precept'!$B$102,'Premissas Precept'!$B$101,0),(('Premissas Precept'!$B$98+'Premissas Precept'!$B$99)*'Premissas Precept'!$B$97*K9+0.1*MAX(0,'Premissas Precept'!$B$97*K9-20000)+('Premissas Precept'!$B$100+'Premissas Precept'!$B$101)*K9)/K9)</f>
        <v>0.15832202867273</v>
      </c>
      <c r="O9" s="15" t="n">
        <f aca="false">K9*N9</f>
        <v>9167.00378217974</v>
      </c>
      <c r="P9" s="15" t="n">
        <f aca="false">C9*'Premissas Precept'!$B$15</f>
        <v>2250</v>
      </c>
      <c r="Q9" s="15" t="n">
        <f aca="false">C9*'Premissas Precept'!$B$90</f>
        <v>3750</v>
      </c>
      <c r="R9" s="15" t="n">
        <f aca="false">K9*'Premissas Precept'!$B$16</f>
        <v>1158.02</v>
      </c>
      <c r="S9" s="15" t="n">
        <f aca="false">B9*'Premissas Precept'!$B$91</f>
        <v>10000</v>
      </c>
      <c r="T9" s="15" t="n">
        <f aca="false">(I9+J9)*'Premissas Precept'!$B$17</f>
        <v>499.85</v>
      </c>
      <c r="U9" s="15" t="n">
        <f aca="false">(I9+J9)*'Premissas Precept'!$B$18</f>
        <v>3498.95</v>
      </c>
      <c r="V9" s="15" t="n">
        <f aca="false">D9*'Premissas Precept'!$B$19+E9*'Premissas Precept'!$B$20</f>
        <v>600</v>
      </c>
      <c r="W9" s="23" t="n">
        <f aca="false">SUM(O9:V9)</f>
        <v>30923.8237821797</v>
      </c>
      <c r="X9" s="15" t="n">
        <f aca="false">'Premissas Precept'!$B$42</f>
        <v>12000</v>
      </c>
      <c r="Y9" s="15" t="n">
        <f aca="false">IF(A9&gt;='Premissas Precept'!$B$47,'Premissas Precept'!$B$48*K9,0)</f>
        <v>14185.745</v>
      </c>
      <c r="Z9" s="23" t="n">
        <f aca="false">X9+Y9</f>
        <v>26185.745</v>
      </c>
      <c r="AA9" s="23" t="n">
        <f aca="false">K9-W9-Z9</f>
        <v>791.431217820256</v>
      </c>
      <c r="AB9" s="15" t="n">
        <f aca="false">Y9/'Premissas Precept'!$B$45</f>
        <v>2026.535</v>
      </c>
      <c r="AC9" s="36" t="str">
        <f aca="false">IF(AA9&gt;=0,"Sim","Não")</f>
        <v>Sim</v>
      </c>
    </row>
    <row r="10" customFormat="false" ht="15" hidden="false" customHeight="false" outlineLevel="0" collapsed="false">
      <c r="A10" s="34" t="n">
        <v>5</v>
      </c>
      <c r="B10" s="38" t="n">
        <f aca="false">ROUND($B$9*(1+'Premissas Precept'!$B$88)^(A10-4),0)</f>
        <v>11</v>
      </c>
      <c r="C10" s="38" t="n">
        <f aca="false">C9-ROUND(C9*'Premissas Precept'!$B$89,0)+B10</f>
        <v>35</v>
      </c>
      <c r="D10" s="37" t="n">
        <v>1</v>
      </c>
      <c r="E10" s="37" t="n">
        <v>0</v>
      </c>
      <c r="F10" s="38" t="n">
        <f aca="false">D10*'Premissas Precept'!$B$92+SUMPRODUCT(($A$6:$A$29&gt;A10-'Premissas Precept'!$B$93)*($A$6:$A$29&lt;=A10)*$E$6:$E$29)</f>
        <v>1</v>
      </c>
      <c r="G10" s="38" t="n">
        <f aca="false">MAX(0,C10-F10)</f>
        <v>34</v>
      </c>
      <c r="H10" s="15" t="n">
        <f aca="false">G10*'Premissas Precept'!$B$8</f>
        <v>67864</v>
      </c>
      <c r="I10" s="15" t="n">
        <f aca="false">D10*'Premissas Precept'!$B$9</f>
        <v>9997</v>
      </c>
      <c r="J10" s="15" t="n">
        <f aca="false">E10*'Premissas Precept'!$B$10</f>
        <v>0</v>
      </c>
      <c r="K10" s="23" t="n">
        <f aca="false">H10+I10+J10</f>
        <v>77861</v>
      </c>
      <c r="L10" s="15" t="n">
        <f aca="false">AVERAGE(K$6:K9)*12</f>
        <v>329391</v>
      </c>
      <c r="M10" s="36" t="str">
        <f aca="false">IF(L10&lt;='Premissas Precept'!$B$96,"Simples","Presumido")</f>
        <v>Simples</v>
      </c>
      <c r="N10" s="39" t="n">
        <f aca="false">IF(M10="Simples",IF(L10&lt;=0,'Premissas Precept'!$C$24,(L10*LOOKUP(L10,'Premissas Precept'!$B$24:$B$29,'Premissas Precept'!$C$24:$C$29)-LOOKUP(L10,'Premissas Precept'!$B$24:$B$29,'Premissas Precept'!$D$24:$D$29))/L10)+IF(L10&gt;'Premissas Precept'!$B$102,'Premissas Precept'!$B$101,0),(('Premissas Precept'!$B$98+'Premissas Precept'!$B$99)*'Premissas Precept'!$B$97*K10+0.1*MAX(0,'Premissas Precept'!$B$97*K10-20000)+('Premissas Precept'!$B$100+'Premissas Precept'!$B$101)*K10)/K10)</f>
        <v>0.166338424547119</v>
      </c>
      <c r="O10" s="15" t="n">
        <f aca="false">K10*N10</f>
        <v>12951.2760736632</v>
      </c>
      <c r="P10" s="15" t="n">
        <f aca="false">C10*'Premissas Precept'!$B$15</f>
        <v>3150</v>
      </c>
      <c r="Q10" s="15" t="n">
        <f aca="false">C10*'Premissas Precept'!$B$90</f>
        <v>5250</v>
      </c>
      <c r="R10" s="15" t="n">
        <f aca="false">K10*'Premissas Precept'!$B$16</f>
        <v>1557.22</v>
      </c>
      <c r="S10" s="15" t="n">
        <f aca="false">B10*'Premissas Precept'!$B$91</f>
        <v>11000</v>
      </c>
      <c r="T10" s="15" t="n">
        <f aca="false">(I10+J10)*'Premissas Precept'!$B$17</f>
        <v>499.85</v>
      </c>
      <c r="U10" s="15" t="n">
        <f aca="false">(I10+J10)*'Premissas Precept'!$B$18</f>
        <v>3498.95</v>
      </c>
      <c r="V10" s="15" t="n">
        <f aca="false">D10*'Premissas Precept'!$B$19+E10*'Premissas Precept'!$B$20</f>
        <v>600</v>
      </c>
      <c r="W10" s="23" t="n">
        <f aca="false">SUM(O10:V10)</f>
        <v>38507.2960736632</v>
      </c>
      <c r="X10" s="15" t="n">
        <f aca="false">'Premissas Precept'!$B$42</f>
        <v>12000</v>
      </c>
      <c r="Y10" s="15" t="n">
        <f aca="false">IF(A10&gt;='Premissas Precept'!$B$47,'Premissas Precept'!$B$48*K10,0)</f>
        <v>19075.945</v>
      </c>
      <c r="Z10" s="23" t="n">
        <f aca="false">X10+Y10</f>
        <v>31075.945</v>
      </c>
      <c r="AA10" s="23" t="n">
        <f aca="false">K10-W10-Z10</f>
        <v>8277.75892633678</v>
      </c>
      <c r="AB10" s="15" t="n">
        <f aca="false">Y10/'Premissas Precept'!$B$45</f>
        <v>2725.135</v>
      </c>
      <c r="AC10" s="36" t="str">
        <f aca="false">IF(AA10&gt;=0,"Sim","Não")</f>
        <v>Sim</v>
      </c>
    </row>
    <row r="11" customFormat="false" ht="15" hidden="false" customHeight="false" outlineLevel="0" collapsed="false">
      <c r="A11" s="34" t="n">
        <v>6</v>
      </c>
      <c r="B11" s="38" t="n">
        <f aca="false">ROUND($B$9*(1+'Premissas Precept'!$B$88)^(A11-4),0)</f>
        <v>11</v>
      </c>
      <c r="C11" s="38" t="n">
        <f aca="false">C10-ROUND(C10*'Premissas Precept'!$B$89,0)+B11</f>
        <v>45</v>
      </c>
      <c r="D11" s="37" t="n">
        <v>1</v>
      </c>
      <c r="E11" s="37" t="n">
        <v>1</v>
      </c>
      <c r="F11" s="38" t="n">
        <f aca="false">D11*'Premissas Precept'!$B$92+SUMPRODUCT(($A$6:$A$29&gt;A11-'Premissas Precept'!$B$93)*($A$6:$A$29&lt;=A11)*$E$6:$E$29)</f>
        <v>2</v>
      </c>
      <c r="G11" s="38" t="n">
        <f aca="false">MAX(0,C11-F11)</f>
        <v>43</v>
      </c>
      <c r="H11" s="15" t="n">
        <f aca="false">G11*'Premissas Precept'!$B$8</f>
        <v>85828</v>
      </c>
      <c r="I11" s="15" t="n">
        <f aca="false">D11*'Premissas Precept'!$B$9</f>
        <v>9997</v>
      </c>
      <c r="J11" s="15" t="n">
        <f aca="false">E11*'Premissas Precept'!$B$10</f>
        <v>29997</v>
      </c>
      <c r="K11" s="23" t="n">
        <f aca="false">H11+I11+J11</f>
        <v>125822</v>
      </c>
      <c r="L11" s="15" t="n">
        <f aca="false">AVERAGE(K$6:K10)*12</f>
        <v>450379.2</v>
      </c>
      <c r="M11" s="36" t="str">
        <f aca="false">IF(L11&lt;='Premissas Precept'!$B$96,"Simples","Presumido")</f>
        <v>Simples</v>
      </c>
      <c r="N11" s="39" t="n">
        <f aca="false">IF(M11="Simples",IF(L11&lt;=0,'Premissas Precept'!$C$24,(L11*LOOKUP(L11,'Premissas Precept'!$B$24:$B$29,'Premissas Precept'!$C$24:$C$29)-LOOKUP(L11,'Premissas Precept'!$B$24:$B$29,'Premissas Precept'!$D$24:$D$29))/L11)+IF(L11&gt;'Premissas Precept'!$B$102,'Premissas Precept'!$B$101,0),(('Premissas Precept'!$B$98+'Premissas Precept'!$B$99)*'Premissas Precept'!$B$97*K11+0.1*MAX(0,'Premissas Precept'!$B$97*K11-20000)+('Premissas Precept'!$B$100+'Premissas Precept'!$B$101)*K11)/K11)</f>
        <v>0.173018523057903</v>
      </c>
      <c r="O11" s="15" t="n">
        <f aca="false">K11*N11</f>
        <v>21769.5366081915</v>
      </c>
      <c r="P11" s="15" t="n">
        <f aca="false">C11*'Premissas Precept'!$B$15</f>
        <v>4050</v>
      </c>
      <c r="Q11" s="15" t="n">
        <f aca="false">C11*'Premissas Precept'!$B$90</f>
        <v>6750</v>
      </c>
      <c r="R11" s="15" t="n">
        <f aca="false">K11*'Premissas Precept'!$B$16</f>
        <v>2516.44</v>
      </c>
      <c r="S11" s="15" t="n">
        <f aca="false">B11*'Premissas Precept'!$B$91</f>
        <v>11000</v>
      </c>
      <c r="T11" s="15" t="n">
        <f aca="false">(I11+J11)*'Premissas Precept'!$B$17</f>
        <v>1999.7</v>
      </c>
      <c r="U11" s="15" t="n">
        <f aca="false">(I11+J11)*'Premissas Precept'!$B$18</f>
        <v>13997.9</v>
      </c>
      <c r="V11" s="15" t="n">
        <f aca="false">D11*'Premissas Precept'!$B$19+E11*'Premissas Precept'!$B$20</f>
        <v>1800</v>
      </c>
      <c r="W11" s="23" t="n">
        <f aca="false">SUM(O11:V11)</f>
        <v>63883.5766081915</v>
      </c>
      <c r="X11" s="15" t="n">
        <f aca="false">'Premissas Precept'!$B$42</f>
        <v>12000</v>
      </c>
      <c r="Y11" s="15" t="n">
        <f aca="false">IF(A11&gt;='Premissas Precept'!$B$47,'Premissas Precept'!$B$48*K11,0)</f>
        <v>30826.39</v>
      </c>
      <c r="Z11" s="23" t="n">
        <f aca="false">X11+Y11</f>
        <v>42826.39</v>
      </c>
      <c r="AA11" s="23" t="n">
        <f aca="false">K11-W11-Z11</f>
        <v>19112.0333918085</v>
      </c>
      <c r="AB11" s="15" t="n">
        <f aca="false">Y11/'Premissas Precept'!$B$45</f>
        <v>4403.77</v>
      </c>
      <c r="AC11" s="36" t="str">
        <f aca="false">IF(AA11&gt;=0,"Sim","Não")</f>
        <v>Sim</v>
      </c>
    </row>
    <row r="12" customFormat="false" ht="15" hidden="false" customHeight="false" outlineLevel="0" collapsed="false">
      <c r="A12" s="34" t="n">
        <v>7</v>
      </c>
      <c r="B12" s="38" t="n">
        <f aca="false">ROUND($B$9*(1+'Premissas Precept'!$B$88)^(A12-4),0)</f>
        <v>12</v>
      </c>
      <c r="C12" s="38" t="n">
        <f aca="false">C11-ROUND(C11*'Premissas Precept'!$B$89,0)+B12</f>
        <v>56</v>
      </c>
      <c r="D12" s="37" t="n">
        <v>1</v>
      </c>
      <c r="E12" s="37" t="n">
        <v>0</v>
      </c>
      <c r="F12" s="38" t="n">
        <f aca="false">D12*'Premissas Precept'!$B$92+SUMPRODUCT(($A$6:$A$29&gt;A12-'Premissas Precept'!$B$93)*($A$6:$A$29&lt;=A12)*$E$6:$E$29)</f>
        <v>2</v>
      </c>
      <c r="G12" s="38" t="n">
        <f aca="false">MAX(0,C12-F12)</f>
        <v>54</v>
      </c>
      <c r="H12" s="15" t="n">
        <f aca="false">G12*'Premissas Precept'!$B$8</f>
        <v>107784</v>
      </c>
      <c r="I12" s="15" t="n">
        <f aca="false">D12*'Premissas Precept'!$B$9</f>
        <v>9997</v>
      </c>
      <c r="J12" s="15" t="n">
        <f aca="false">E12*'Premissas Precept'!$B$10</f>
        <v>0</v>
      </c>
      <c r="K12" s="23" t="n">
        <f aca="false">H12+I12+J12</f>
        <v>117781</v>
      </c>
      <c r="L12" s="15" t="n">
        <f aca="false">AVERAGE(K$6:K11)*12</f>
        <v>626960</v>
      </c>
      <c r="M12" s="36" t="str">
        <f aca="false">IF(L12&lt;='Premissas Precept'!$B$96,"Simples","Presumido")</f>
        <v>Simples</v>
      </c>
      <c r="N12" s="39" t="n">
        <f aca="false">IF(M12="Simples",IF(L12&lt;=0,'Premissas Precept'!$C$24,(L12*LOOKUP(L12,'Premissas Precept'!$B$24:$B$29,'Premissas Precept'!$C$24:$C$29)-LOOKUP(L12,'Premissas Precept'!$B$24:$B$29,'Premissas Precept'!$D$24:$D$29))/L12)+IF(L12&gt;'Premissas Precept'!$B$102,'Premissas Precept'!$B$101,0),(('Premissas Precept'!$B$98+'Premissas Precept'!$B$99)*'Premissas Precept'!$B$97*K12+0.1*MAX(0,'Premissas Precept'!$B$97*K12-20000)+('Premissas Precept'!$B$100+'Premissas Precept'!$B$101)*K12)/K12)</f>
        <v>0.179209518948577</v>
      </c>
      <c r="O12" s="15" t="n">
        <f aca="false">K12*N12</f>
        <v>21107.4763512824</v>
      </c>
      <c r="P12" s="15" t="n">
        <f aca="false">C12*'Premissas Precept'!$B$15</f>
        <v>5040</v>
      </c>
      <c r="Q12" s="15" t="n">
        <f aca="false">C12*'Premissas Precept'!$B$90</f>
        <v>8400</v>
      </c>
      <c r="R12" s="15" t="n">
        <f aca="false">K12*'Premissas Precept'!$B$16</f>
        <v>2355.62</v>
      </c>
      <c r="S12" s="15" t="n">
        <f aca="false">B12*'Premissas Precept'!$B$91</f>
        <v>12000</v>
      </c>
      <c r="T12" s="15" t="n">
        <f aca="false">(I12+J12)*'Premissas Precept'!$B$17</f>
        <v>499.85</v>
      </c>
      <c r="U12" s="15" t="n">
        <f aca="false">(I12+J12)*'Premissas Precept'!$B$18</f>
        <v>3498.95</v>
      </c>
      <c r="V12" s="15" t="n">
        <f aca="false">D12*'Premissas Precept'!$B$19+E12*'Premissas Precept'!$B$20</f>
        <v>600</v>
      </c>
      <c r="W12" s="23" t="n">
        <f aca="false">SUM(O12:V12)</f>
        <v>53501.8963512824</v>
      </c>
      <c r="X12" s="15" t="n">
        <f aca="false">'Premissas Precept'!$B$42</f>
        <v>12000</v>
      </c>
      <c r="Y12" s="15" t="n">
        <f aca="false">IF(A12&gt;='Premissas Precept'!$B$47,'Premissas Precept'!$B$48*K12,0)</f>
        <v>28856.345</v>
      </c>
      <c r="Z12" s="23" t="n">
        <f aca="false">X12+Y12</f>
        <v>40856.345</v>
      </c>
      <c r="AA12" s="23" t="n">
        <f aca="false">K12-W12-Z12</f>
        <v>23422.7586487176</v>
      </c>
      <c r="AB12" s="15" t="n">
        <f aca="false">Y12/'Premissas Precept'!$B$45</f>
        <v>4122.335</v>
      </c>
      <c r="AC12" s="36" t="str">
        <f aca="false">IF(AA12&gt;=0,"Sim","Não")</f>
        <v>Sim</v>
      </c>
    </row>
    <row r="13" customFormat="false" ht="15" hidden="false" customHeight="false" outlineLevel="0" collapsed="false">
      <c r="A13" s="34" t="n">
        <v>8</v>
      </c>
      <c r="B13" s="38" t="n">
        <f aca="false">ROUND($B$9*(1+'Premissas Precept'!$B$88)^(A13-4),0)</f>
        <v>12</v>
      </c>
      <c r="C13" s="38" t="n">
        <f aca="false">C12-ROUND(C12*'Premissas Precept'!$B$89,0)+B13</f>
        <v>66</v>
      </c>
      <c r="D13" s="37" t="n">
        <v>1</v>
      </c>
      <c r="E13" s="37" t="n">
        <v>1</v>
      </c>
      <c r="F13" s="38" t="n">
        <f aca="false">D13*'Premissas Precept'!$B$92+SUMPRODUCT(($A$6:$A$29&gt;A13-'Premissas Precept'!$B$93)*($A$6:$A$29&lt;=A13)*$E$6:$E$29)</f>
        <v>3</v>
      </c>
      <c r="G13" s="38" t="n">
        <f aca="false">MAX(0,C13-F13)</f>
        <v>63</v>
      </c>
      <c r="H13" s="15" t="n">
        <f aca="false">G13*'Premissas Precept'!$B$8</f>
        <v>125748</v>
      </c>
      <c r="I13" s="15" t="n">
        <f aca="false">D13*'Premissas Precept'!$B$9</f>
        <v>9997</v>
      </c>
      <c r="J13" s="15" t="n">
        <f aca="false">E13*'Premissas Precept'!$B$10</f>
        <v>29997</v>
      </c>
      <c r="K13" s="23" t="n">
        <f aca="false">H13+I13+J13</f>
        <v>165742</v>
      </c>
      <c r="L13" s="15" t="n">
        <f aca="false">AVERAGE(K$6:K12)*12</f>
        <v>739304.571428571</v>
      </c>
      <c r="M13" s="36" t="str">
        <f aca="false">IF(L13&lt;='Premissas Precept'!$B$96,"Simples","Presumido")</f>
        <v>Simples</v>
      </c>
      <c r="N13" s="39" t="n">
        <f aca="false">IF(M13="Simples",IF(L13&lt;=0,'Premissas Precept'!$C$24,(L13*LOOKUP(L13,'Premissas Precept'!$B$24:$B$29,'Premissas Precept'!$C$24:$C$29)-LOOKUP(L13,'Premissas Precept'!$B$24:$B$29,'Premissas Precept'!$D$24:$D$29))/L13)+IF(L13&gt;'Premissas Precept'!$B$102,'Premissas Precept'!$B$101,0),(('Premissas Precept'!$B$98+'Premissas Precept'!$B$99)*'Premissas Precept'!$B$97*K13+0.1*MAX(0,'Premissas Precept'!$B$97*K13-20000)+('Premissas Precept'!$B$100+'Premissas Precept'!$B$101)*K13)/K13)</f>
        <v>0.181870155196041</v>
      </c>
      <c r="O13" s="15" t="n">
        <f aca="false">K13*N13</f>
        <v>30143.5232625023</v>
      </c>
      <c r="P13" s="15" t="n">
        <f aca="false">C13*'Premissas Precept'!$B$15</f>
        <v>5940</v>
      </c>
      <c r="Q13" s="15" t="n">
        <f aca="false">C13*'Premissas Precept'!$B$90</f>
        <v>9900</v>
      </c>
      <c r="R13" s="15" t="n">
        <f aca="false">K13*'Premissas Precept'!$B$16</f>
        <v>3314.84</v>
      </c>
      <c r="S13" s="15" t="n">
        <f aca="false">B13*'Premissas Precept'!$B$91</f>
        <v>12000</v>
      </c>
      <c r="T13" s="15" t="n">
        <f aca="false">(I13+J13)*'Premissas Precept'!$B$17</f>
        <v>1999.7</v>
      </c>
      <c r="U13" s="15" t="n">
        <f aca="false">(I13+J13)*'Premissas Precept'!$B$18</f>
        <v>13997.9</v>
      </c>
      <c r="V13" s="15" t="n">
        <f aca="false">D13*'Premissas Precept'!$B$19+E13*'Premissas Precept'!$B$20</f>
        <v>1800</v>
      </c>
      <c r="W13" s="23" t="n">
        <f aca="false">SUM(O13:V13)</f>
        <v>79095.9632625023</v>
      </c>
      <c r="X13" s="15" t="n">
        <f aca="false">'Premissas Precept'!$B$42</f>
        <v>12000</v>
      </c>
      <c r="Y13" s="15" t="n">
        <f aca="false">IF(A13&gt;='Premissas Precept'!$B$47,'Premissas Precept'!$B$48*K13,0)</f>
        <v>40606.79</v>
      </c>
      <c r="Z13" s="23" t="n">
        <f aca="false">X13+Y13</f>
        <v>52606.79</v>
      </c>
      <c r="AA13" s="23" t="n">
        <f aca="false">K13-W13-Z13</f>
        <v>34039.2467374977</v>
      </c>
      <c r="AB13" s="15" t="n">
        <f aca="false">Y13/'Premissas Precept'!$B$45</f>
        <v>5800.97</v>
      </c>
      <c r="AC13" s="36" t="str">
        <f aca="false">IF(AA13&gt;=0,"Sim","Não")</f>
        <v>Sim</v>
      </c>
    </row>
    <row r="14" customFormat="false" ht="15" hidden="false" customHeight="false" outlineLevel="0" collapsed="false">
      <c r="A14" s="34" t="n">
        <v>9</v>
      </c>
      <c r="B14" s="38" t="n">
        <f aca="false">ROUND($B$9*(1+'Premissas Precept'!$B$88)^(A14-4),0)</f>
        <v>13</v>
      </c>
      <c r="C14" s="38" t="n">
        <f aca="false">C13-ROUND(C13*'Premissas Precept'!$B$89,0)+B14</f>
        <v>77</v>
      </c>
      <c r="D14" s="37" t="n">
        <v>2</v>
      </c>
      <c r="E14" s="37" t="n">
        <v>0</v>
      </c>
      <c r="F14" s="38" t="n">
        <f aca="false">D14*'Premissas Precept'!$B$92+SUMPRODUCT(($A$6:$A$29&gt;A14-'Premissas Precept'!$B$93)*($A$6:$A$29&lt;=A14)*$E$6:$E$29)</f>
        <v>3</v>
      </c>
      <c r="G14" s="38" t="n">
        <f aca="false">MAX(0,C14-F14)</f>
        <v>74</v>
      </c>
      <c r="H14" s="15" t="n">
        <f aca="false">G14*'Premissas Precept'!$B$8</f>
        <v>147704</v>
      </c>
      <c r="I14" s="15" t="n">
        <f aca="false">D14*'Premissas Precept'!$B$9</f>
        <v>19994</v>
      </c>
      <c r="J14" s="15" t="n">
        <f aca="false">E14*'Premissas Precept'!$B$10</f>
        <v>0</v>
      </c>
      <c r="K14" s="23" t="n">
        <f aca="false">H14+I14+J14</f>
        <v>167698</v>
      </c>
      <c r="L14" s="15" t="n">
        <f aca="false">AVERAGE(K$6:K13)*12</f>
        <v>895504.5</v>
      </c>
      <c r="M14" s="36" t="str">
        <f aca="false">IF(L14&lt;='Premissas Precept'!$B$96,"Simples","Presumido")</f>
        <v>Simples</v>
      </c>
      <c r="N14" s="39" t="n">
        <f aca="false">IF(M14="Simples",IF(L14&lt;=0,'Premissas Precept'!$C$24,(L14*LOOKUP(L14,'Premissas Precept'!$B$24:$B$29,'Premissas Precept'!$C$24:$C$29)-LOOKUP(L14,'Premissas Precept'!$B$24:$B$29,'Premissas Precept'!$D$24:$D$29))/L14)+IF(L14&gt;'Premissas Precept'!$B$102,'Premissas Precept'!$B$101,0),(('Premissas Precept'!$B$98+'Premissas Precept'!$B$99)*'Premissas Precept'!$B$97*K14+0.1*MAX(0,'Premissas Precept'!$B$97*K14-20000)+('Premissas Precept'!$B$100+'Premissas Precept'!$B$101)*K14)/K14)</f>
        <v>0.185904618569756</v>
      </c>
      <c r="O14" s="15" t="n">
        <f aca="false">K14*N14</f>
        <v>31175.8327249109</v>
      </c>
      <c r="P14" s="15" t="n">
        <f aca="false">C14*'Premissas Precept'!$B$15</f>
        <v>6930</v>
      </c>
      <c r="Q14" s="15" t="n">
        <f aca="false">C14*'Premissas Precept'!$B$90</f>
        <v>11550</v>
      </c>
      <c r="R14" s="15" t="n">
        <f aca="false">K14*'Premissas Precept'!$B$16</f>
        <v>3353.96</v>
      </c>
      <c r="S14" s="15" t="n">
        <f aca="false">B14*'Premissas Precept'!$B$91</f>
        <v>13000</v>
      </c>
      <c r="T14" s="15" t="n">
        <f aca="false">(I14+J14)*'Premissas Precept'!$B$17</f>
        <v>999.7</v>
      </c>
      <c r="U14" s="15" t="n">
        <f aca="false">(I14+J14)*'Premissas Precept'!$B$18</f>
        <v>6997.9</v>
      </c>
      <c r="V14" s="15" t="n">
        <f aca="false">D14*'Premissas Precept'!$B$19+E14*'Premissas Precept'!$B$20</f>
        <v>1200</v>
      </c>
      <c r="W14" s="23" t="n">
        <f aca="false">SUM(O14:V14)</f>
        <v>75207.3927249109</v>
      </c>
      <c r="X14" s="15" t="n">
        <f aca="false">'Premissas Precept'!$B$42</f>
        <v>12000</v>
      </c>
      <c r="Y14" s="15" t="n">
        <f aca="false">IF(A14&gt;='Premissas Precept'!$B$47,'Premissas Precept'!$B$48*K14,0)</f>
        <v>41086.01</v>
      </c>
      <c r="Z14" s="23" t="n">
        <f aca="false">X14+Y14</f>
        <v>53086.01</v>
      </c>
      <c r="AA14" s="23" t="n">
        <f aca="false">K14-W14-Z14</f>
        <v>39404.5972750891</v>
      </c>
      <c r="AB14" s="15" t="n">
        <f aca="false">Y14/'Premissas Precept'!$B$45</f>
        <v>5869.43</v>
      </c>
      <c r="AC14" s="36" t="str">
        <f aca="false">IF(AA14&gt;=0,"Sim","Não")</f>
        <v>Sim</v>
      </c>
    </row>
    <row r="15" customFormat="false" ht="15" hidden="false" customHeight="false" outlineLevel="0" collapsed="false">
      <c r="A15" s="34" t="n">
        <v>10</v>
      </c>
      <c r="B15" s="38" t="n">
        <f aca="false">ROUND($B$9*(1+'Premissas Precept'!$B$88)^(A15-4),0)</f>
        <v>13</v>
      </c>
      <c r="C15" s="38" t="n">
        <f aca="false">C14-ROUND(C14*'Premissas Precept'!$B$89,0)+B15</f>
        <v>88</v>
      </c>
      <c r="D15" s="37" t="n">
        <v>1</v>
      </c>
      <c r="E15" s="37" t="n">
        <v>1</v>
      </c>
      <c r="F15" s="38" t="n">
        <f aca="false">D15*'Premissas Precept'!$B$92+SUMPRODUCT(($A$6:$A$29&gt;A15-'Premissas Precept'!$B$93)*($A$6:$A$29&lt;=A15)*$E$6:$E$29)</f>
        <v>3</v>
      </c>
      <c r="G15" s="38" t="n">
        <f aca="false">MAX(0,C15-F15)</f>
        <v>85</v>
      </c>
      <c r="H15" s="15" t="n">
        <f aca="false">G15*'Premissas Precept'!$B$8</f>
        <v>169660</v>
      </c>
      <c r="I15" s="15" t="n">
        <f aca="false">D15*'Premissas Precept'!$B$9</f>
        <v>9997</v>
      </c>
      <c r="J15" s="15" t="n">
        <f aca="false">E15*'Premissas Precept'!$B$10</f>
        <v>29997</v>
      </c>
      <c r="K15" s="23" t="n">
        <f aca="false">H15+I15+J15</f>
        <v>209654</v>
      </c>
      <c r="L15" s="15" t="n">
        <f aca="false">AVERAGE(K$6:K14)*12</f>
        <v>1019601.33333333</v>
      </c>
      <c r="M15" s="36" t="str">
        <f aca="false">IF(L15&lt;='Premissas Precept'!$B$96,"Simples","Presumido")</f>
        <v>Simples</v>
      </c>
      <c r="N15" s="39" t="n">
        <f aca="false">IF(M15="Simples",IF(L15&lt;=0,'Premissas Precept'!$C$24,(L15*LOOKUP(L15,'Premissas Precept'!$B$24:$B$29,'Premissas Precept'!$C$24:$C$29)-LOOKUP(L15,'Premissas Precept'!$B$24:$B$29,'Premissas Precept'!$D$24:$D$29))/L15)+IF(L15&gt;'Premissas Precept'!$B$102,'Premissas Precept'!$B$101,0),(('Premissas Precept'!$B$98+'Premissas Precept'!$B$99)*'Premissas Precept'!$B$97*K15+0.1*MAX(0,'Premissas Precept'!$B$97*K15-20000)+('Premissas Precept'!$B$100+'Premissas Precept'!$B$101)*K15)/K15)</f>
        <v>0.188228739075796</v>
      </c>
      <c r="O15" s="15" t="n">
        <f aca="false">K15*N15</f>
        <v>39462.9080621969</v>
      </c>
      <c r="P15" s="15" t="n">
        <f aca="false">C15*'Premissas Precept'!$B$15</f>
        <v>7920</v>
      </c>
      <c r="Q15" s="15" t="n">
        <f aca="false">C15*'Premissas Precept'!$B$90</f>
        <v>13200</v>
      </c>
      <c r="R15" s="15" t="n">
        <f aca="false">K15*'Premissas Precept'!$B$16</f>
        <v>4193.08</v>
      </c>
      <c r="S15" s="15" t="n">
        <f aca="false">B15*'Premissas Precept'!$B$91</f>
        <v>13000</v>
      </c>
      <c r="T15" s="15" t="n">
        <f aca="false">(I15+J15)*'Premissas Precept'!$B$17</f>
        <v>1999.7</v>
      </c>
      <c r="U15" s="15" t="n">
        <f aca="false">(I15+J15)*'Premissas Precept'!$B$18</f>
        <v>13997.9</v>
      </c>
      <c r="V15" s="15" t="n">
        <f aca="false">D15*'Premissas Precept'!$B$19+E15*'Premissas Precept'!$B$20</f>
        <v>1800</v>
      </c>
      <c r="W15" s="23" t="n">
        <f aca="false">SUM(O15:V15)</f>
        <v>95573.5880621969</v>
      </c>
      <c r="X15" s="15" t="n">
        <f aca="false">'Premissas Precept'!$B$42</f>
        <v>12000</v>
      </c>
      <c r="Y15" s="15" t="n">
        <f aca="false">IF(A15&gt;='Premissas Precept'!$B$47,'Premissas Precept'!$B$48*K15,0)</f>
        <v>51365.23</v>
      </c>
      <c r="Z15" s="23" t="n">
        <f aca="false">X15+Y15</f>
        <v>63365.23</v>
      </c>
      <c r="AA15" s="23" t="n">
        <f aca="false">K15-W15-Z15</f>
        <v>50715.1819378031</v>
      </c>
      <c r="AB15" s="15" t="n">
        <f aca="false">Y15/'Premissas Precept'!$B$45</f>
        <v>7337.89</v>
      </c>
      <c r="AC15" s="36" t="str">
        <f aca="false">IF(AA15&gt;=0,"Sim","Não")</f>
        <v>Sim</v>
      </c>
    </row>
    <row r="16" customFormat="false" ht="15" hidden="false" customHeight="false" outlineLevel="0" collapsed="false">
      <c r="A16" s="34" t="n">
        <v>11</v>
      </c>
      <c r="B16" s="38" t="n">
        <f aca="false">ROUND($B$9*(1+'Premissas Precept'!$B$88)^(A16-4),0)</f>
        <v>14</v>
      </c>
      <c r="C16" s="38" t="n">
        <f aca="false">C15-ROUND(C15*'Premissas Precept'!$B$89,0)+B16</f>
        <v>99</v>
      </c>
      <c r="D16" s="37" t="n">
        <v>2</v>
      </c>
      <c r="E16" s="37" t="n">
        <v>0</v>
      </c>
      <c r="F16" s="38" t="n">
        <f aca="false">D16*'Premissas Precept'!$B$92+SUMPRODUCT(($A$6:$A$29&gt;A16-'Premissas Precept'!$B$93)*($A$6:$A$29&lt;=A16)*$E$6:$E$29)</f>
        <v>3</v>
      </c>
      <c r="G16" s="38" t="n">
        <f aca="false">MAX(0,C16-F16)</f>
        <v>96</v>
      </c>
      <c r="H16" s="15" t="n">
        <f aca="false">G16*'Premissas Precept'!$B$8</f>
        <v>191616</v>
      </c>
      <c r="I16" s="15" t="n">
        <f aca="false">D16*'Premissas Precept'!$B$9</f>
        <v>19994</v>
      </c>
      <c r="J16" s="15" t="n">
        <f aca="false">E16*'Premissas Precept'!$B$10</f>
        <v>0</v>
      </c>
      <c r="K16" s="23" t="n">
        <f aca="false">H16+I16+J16</f>
        <v>211610</v>
      </c>
      <c r="L16" s="15" t="n">
        <f aca="false">AVERAGE(K$6:K15)*12</f>
        <v>1169226</v>
      </c>
      <c r="M16" s="36" t="str">
        <f aca="false">IF(L16&lt;='Premissas Precept'!$B$96,"Simples","Presumido")</f>
        <v>Simples</v>
      </c>
      <c r="N16" s="39" t="n">
        <f aca="false">IF(M16="Simples",IF(L16&lt;=0,'Premissas Precept'!$C$24,(L16*LOOKUP(L16,'Premissas Precept'!$B$24:$B$29,'Premissas Precept'!$C$24:$C$29)-LOOKUP(L16,'Premissas Precept'!$B$24:$B$29,'Premissas Precept'!$D$24:$D$29))/L16)+IF(L16&gt;'Premissas Precept'!$B$102,'Premissas Precept'!$B$101,0),(('Premissas Precept'!$B$98+'Premissas Precept'!$B$99)*'Premissas Precept'!$B$97*K16+0.1*MAX(0,'Premissas Precept'!$B$97*K16-20000)+('Premissas Precept'!$B$100+'Premissas Precept'!$B$101)*K16)/K16)</f>
        <v>0.190374940345151</v>
      </c>
      <c r="O16" s="15" t="n">
        <f aca="false">K16*N16</f>
        <v>40285.2411264375</v>
      </c>
      <c r="P16" s="15" t="n">
        <f aca="false">C16*'Premissas Precept'!$B$15</f>
        <v>8910</v>
      </c>
      <c r="Q16" s="15" t="n">
        <f aca="false">C16*'Premissas Precept'!$B$90</f>
        <v>14850</v>
      </c>
      <c r="R16" s="15" t="n">
        <f aca="false">K16*'Premissas Precept'!$B$16</f>
        <v>4232.2</v>
      </c>
      <c r="S16" s="15" t="n">
        <f aca="false">B16*'Premissas Precept'!$B$91</f>
        <v>14000</v>
      </c>
      <c r="T16" s="15" t="n">
        <f aca="false">(I16+J16)*'Premissas Precept'!$B$17</f>
        <v>999.7</v>
      </c>
      <c r="U16" s="15" t="n">
        <f aca="false">(I16+J16)*'Premissas Precept'!$B$18</f>
        <v>6997.9</v>
      </c>
      <c r="V16" s="15" t="n">
        <f aca="false">D16*'Premissas Precept'!$B$19+E16*'Premissas Precept'!$B$20</f>
        <v>1200</v>
      </c>
      <c r="W16" s="23" t="n">
        <f aca="false">SUM(O16:V16)</f>
        <v>91475.0411264375</v>
      </c>
      <c r="X16" s="15" t="n">
        <f aca="false">'Premissas Precept'!$B$42</f>
        <v>12000</v>
      </c>
      <c r="Y16" s="15" t="n">
        <f aca="false">IF(A16&gt;='Premissas Precept'!$B$47,'Premissas Precept'!$B$48*K16,0)</f>
        <v>51844.45</v>
      </c>
      <c r="Z16" s="23" t="n">
        <f aca="false">X16+Y16</f>
        <v>63844.45</v>
      </c>
      <c r="AA16" s="23" t="n">
        <f aca="false">K16-W16-Z16</f>
        <v>56290.5088735625</v>
      </c>
      <c r="AB16" s="15" t="n">
        <f aca="false">Y16/'Premissas Precept'!$B$45</f>
        <v>7406.35</v>
      </c>
      <c r="AC16" s="36" t="str">
        <f aca="false">IF(AA16&gt;=0,"Sim","Não")</f>
        <v>Sim</v>
      </c>
    </row>
    <row r="17" customFormat="false" ht="15" hidden="false" customHeight="false" outlineLevel="0" collapsed="false">
      <c r="A17" s="34" t="n">
        <v>12</v>
      </c>
      <c r="B17" s="38" t="n">
        <f aca="false">ROUND($B$9*(1+'Premissas Precept'!$B$88)^(A17-4),0)</f>
        <v>15</v>
      </c>
      <c r="C17" s="38" t="n">
        <f aca="false">C16-ROUND(C16*'Premissas Precept'!$B$89,0)+B17</f>
        <v>111</v>
      </c>
      <c r="D17" s="37" t="n">
        <v>1</v>
      </c>
      <c r="E17" s="37" t="n">
        <v>1</v>
      </c>
      <c r="F17" s="38" t="n">
        <f aca="false">D17*'Premissas Precept'!$B$92+SUMPRODUCT(($A$6:$A$29&gt;A17-'Premissas Precept'!$B$93)*($A$6:$A$29&lt;=A17)*$E$6:$E$29)</f>
        <v>3</v>
      </c>
      <c r="G17" s="38" t="n">
        <f aca="false">MAX(0,C17-F17)</f>
        <v>108</v>
      </c>
      <c r="H17" s="15" t="n">
        <f aca="false">G17*'Premissas Precept'!$B$8</f>
        <v>215568</v>
      </c>
      <c r="I17" s="15" t="n">
        <f aca="false">D17*'Premissas Precept'!$B$9</f>
        <v>9997</v>
      </c>
      <c r="J17" s="15" t="n">
        <f aca="false">E17*'Premissas Precept'!$B$10</f>
        <v>29997</v>
      </c>
      <c r="K17" s="23" t="n">
        <f aca="false">H17+I17+J17</f>
        <v>255562</v>
      </c>
      <c r="L17" s="15" t="n">
        <f aca="false">AVERAGE(K$6:K16)*12</f>
        <v>1293780</v>
      </c>
      <c r="M17" s="36" t="str">
        <f aca="false">IF(L17&lt;='Premissas Precept'!$B$96,"Simples","Presumido")</f>
        <v>Simples</v>
      </c>
      <c r="N17" s="39" t="n">
        <f aca="false">IF(M17="Simples",IF(L17&lt;=0,'Premissas Precept'!$C$24,(L17*LOOKUP(L17,'Premissas Precept'!$B$24:$B$29,'Premissas Precept'!$C$24:$C$29)-LOOKUP(L17,'Premissas Precept'!$B$24:$B$29,'Premissas Precept'!$D$24:$D$29))/L17)+IF(L17&gt;'Premissas Precept'!$B$102,'Premissas Precept'!$B$101,0),(('Premissas Precept'!$B$98+'Premissas Precept'!$B$99)*'Premissas Precept'!$B$97*K17+0.1*MAX(0,'Premissas Precept'!$B$97*K17-20000)+('Premissas Precept'!$B$100+'Premissas Precept'!$B$101)*K17)/K17)</f>
        <v>0.191782915178778</v>
      </c>
      <c r="O17" s="15" t="n">
        <f aca="false">K17*N17</f>
        <v>49012.425368919</v>
      </c>
      <c r="P17" s="15" t="n">
        <f aca="false">C17*'Premissas Precept'!$B$15</f>
        <v>9990</v>
      </c>
      <c r="Q17" s="15" t="n">
        <f aca="false">C17*'Premissas Precept'!$B$90</f>
        <v>16650</v>
      </c>
      <c r="R17" s="15" t="n">
        <f aca="false">K17*'Premissas Precept'!$B$16</f>
        <v>5111.24</v>
      </c>
      <c r="S17" s="15" t="n">
        <f aca="false">B17*'Premissas Precept'!$B$91</f>
        <v>15000</v>
      </c>
      <c r="T17" s="15" t="n">
        <f aca="false">(I17+J17)*'Premissas Precept'!$B$17</f>
        <v>1999.7</v>
      </c>
      <c r="U17" s="15" t="n">
        <f aca="false">(I17+J17)*'Premissas Precept'!$B$18</f>
        <v>13997.9</v>
      </c>
      <c r="V17" s="15" t="n">
        <f aca="false">D17*'Premissas Precept'!$B$19+E17*'Premissas Precept'!$B$20</f>
        <v>1800</v>
      </c>
      <c r="W17" s="23" t="n">
        <f aca="false">SUM(O17:V17)</f>
        <v>113561.265368919</v>
      </c>
      <c r="X17" s="15" t="n">
        <f aca="false">'Premissas Precept'!$B$42</f>
        <v>12000</v>
      </c>
      <c r="Y17" s="15" t="n">
        <f aca="false">IF(A17&gt;='Premissas Precept'!$B$47,'Premissas Precept'!$B$48*K17,0)</f>
        <v>62612.69</v>
      </c>
      <c r="Z17" s="23" t="n">
        <f aca="false">X17+Y17</f>
        <v>74612.69</v>
      </c>
      <c r="AA17" s="23" t="n">
        <f aca="false">K17-W17-Z17</f>
        <v>67388.044631081</v>
      </c>
      <c r="AB17" s="15" t="n">
        <f aca="false">Y17/'Premissas Precept'!$B$45</f>
        <v>8944.67</v>
      </c>
      <c r="AC17" s="36" t="str">
        <f aca="false">IF(AA17&gt;=0,"Sim","Não")</f>
        <v>Sim</v>
      </c>
    </row>
    <row r="18" customFormat="false" ht="15" hidden="false" customHeight="false" outlineLevel="0" collapsed="false">
      <c r="A18" s="34" t="n">
        <v>13</v>
      </c>
      <c r="B18" s="38" t="n">
        <f aca="false">ROUND($B$9*(1+'Premissas Precept'!$B$88)^(A18-4),0)</f>
        <v>16</v>
      </c>
      <c r="C18" s="38" t="n">
        <f aca="false">C17-ROUND(C17*'Premissas Precept'!$B$89,0)+B18</f>
        <v>124</v>
      </c>
      <c r="D18" s="37" t="n">
        <v>4</v>
      </c>
      <c r="E18" s="37" t="n">
        <v>1</v>
      </c>
      <c r="F18" s="38" t="n">
        <f aca="false">D18*'Premissas Precept'!$B$92+SUMPRODUCT(($A$6:$A$29&gt;A18-'Premissas Precept'!$B$93)*($A$6:$A$29&lt;=A18)*$E$6:$E$29)</f>
        <v>6</v>
      </c>
      <c r="G18" s="38" t="n">
        <f aca="false">MAX(0,C18-F18)</f>
        <v>118</v>
      </c>
      <c r="H18" s="15" t="n">
        <f aca="false">G18*'Premissas Precept'!$B$8</f>
        <v>235528</v>
      </c>
      <c r="I18" s="15" t="n">
        <f aca="false">D18*'Premissas Precept'!$B$9</f>
        <v>39988</v>
      </c>
      <c r="J18" s="15" t="n">
        <f aca="false">E18*'Premissas Precept'!$B$10</f>
        <v>29997</v>
      </c>
      <c r="K18" s="23" t="n">
        <f aca="false">H18+I18+J18</f>
        <v>305513</v>
      </c>
      <c r="L18" s="15" t="n">
        <f aca="false">SUM(K6:K17)</f>
        <v>1441527</v>
      </c>
      <c r="M18" s="36" t="str">
        <f aca="false">IF(L18&lt;='Premissas Precept'!$B$96,"Simples","Presumido")</f>
        <v>Simples</v>
      </c>
      <c r="N18" s="39" t="n">
        <f aca="false">IF(M18="Simples",IF(L18&lt;=0,'Premissas Precept'!$C$24,(L18*LOOKUP(L18,'Premissas Precept'!$B$24:$B$29,'Premissas Precept'!$C$24:$C$29)-LOOKUP(L18,'Premissas Precept'!$B$24:$B$29,'Premissas Precept'!$D$24:$D$29))/L18)+IF(L18&gt;'Premissas Precept'!$B$102,'Premissas Precept'!$B$101,0),(('Premissas Precept'!$B$98+'Premissas Precept'!$B$99)*'Premissas Precept'!$B$97*K18+0.1*MAX(0,'Premissas Precept'!$B$97*K18-20000)+('Premissas Precept'!$B$100+'Premissas Precept'!$B$101)*K18)/K18)</f>
        <v>0.19313757910882</v>
      </c>
      <c r="O18" s="15" t="n">
        <f aca="false">K18*N18</f>
        <v>59006.0412062729</v>
      </c>
      <c r="P18" s="15" t="n">
        <f aca="false">C18*'Premissas Precept'!$B$15</f>
        <v>11160</v>
      </c>
      <c r="Q18" s="15" t="n">
        <f aca="false">C18*'Premissas Precept'!$B$90</f>
        <v>18600</v>
      </c>
      <c r="R18" s="15" t="n">
        <f aca="false">K18*'Premissas Precept'!$B$16</f>
        <v>6110.26</v>
      </c>
      <c r="S18" s="15" t="n">
        <f aca="false">B18*'Premissas Precept'!$B$91</f>
        <v>16000</v>
      </c>
      <c r="T18" s="15" t="n">
        <f aca="false">(I18+J18)*'Premissas Precept'!$B$17</f>
        <v>3499.25</v>
      </c>
      <c r="U18" s="15" t="n">
        <f aca="false">(I18+J18)*'Premissas Precept'!$B$18</f>
        <v>24494.75</v>
      </c>
      <c r="V18" s="15" t="n">
        <f aca="false">D18*'Premissas Precept'!$B$19+E18*'Premissas Precept'!$B$20</f>
        <v>3600</v>
      </c>
      <c r="W18" s="23" t="n">
        <f aca="false">SUM(O18:V18)</f>
        <v>142470.301206273</v>
      </c>
      <c r="X18" s="15" t="n">
        <f aca="false">'Premissas Precept'!$B$42</f>
        <v>12000</v>
      </c>
      <c r="Y18" s="15" t="n">
        <f aca="false">IF(A18&gt;='Premissas Precept'!$B$47,'Premissas Precept'!$B$48*K18,0)</f>
        <v>74850.685</v>
      </c>
      <c r="Z18" s="23" t="n">
        <f aca="false">X18+Y18</f>
        <v>86850.685</v>
      </c>
      <c r="AA18" s="23" t="n">
        <f aca="false">K18-W18-Z18</f>
        <v>76192.0137937271</v>
      </c>
      <c r="AB18" s="15" t="n">
        <f aca="false">Y18/'Premissas Precept'!$B$45</f>
        <v>10692.955</v>
      </c>
      <c r="AC18" s="36" t="str">
        <f aca="false">IF(AA18&gt;=0,"Sim","Não")</f>
        <v>Sim</v>
      </c>
    </row>
    <row r="19" customFormat="false" ht="15" hidden="false" customHeight="false" outlineLevel="0" collapsed="false">
      <c r="A19" s="34" t="n">
        <v>14</v>
      </c>
      <c r="B19" s="38" t="n">
        <f aca="false">ROUND($B$9*(1+'Premissas Precept'!$B$88)^(A19-4),0)</f>
        <v>16</v>
      </c>
      <c r="C19" s="38" t="n">
        <f aca="false">C18-ROUND(C18*'Premissas Precept'!$B$89,0)+B19</f>
        <v>136</v>
      </c>
      <c r="D19" s="37" t="n">
        <v>4</v>
      </c>
      <c r="E19" s="37" t="n">
        <v>1</v>
      </c>
      <c r="F19" s="38" t="n">
        <f aca="false">D19*'Premissas Precept'!$B$92+SUMPRODUCT(($A$6:$A$29&gt;A19-'Premissas Precept'!$B$93)*($A$6:$A$29&lt;=A19)*$E$6:$E$29)</f>
        <v>7</v>
      </c>
      <c r="G19" s="38" t="n">
        <f aca="false">MAX(0,C19-F19)</f>
        <v>129</v>
      </c>
      <c r="H19" s="15" t="n">
        <f aca="false">G19*'Premissas Precept'!$B$8</f>
        <v>257484</v>
      </c>
      <c r="I19" s="15" t="n">
        <f aca="false">D19*'Premissas Precept'!$B$9</f>
        <v>39988</v>
      </c>
      <c r="J19" s="15" t="n">
        <f aca="false">E19*'Premissas Precept'!$B$10</f>
        <v>29997</v>
      </c>
      <c r="K19" s="23" t="n">
        <f aca="false">H19+I19+J19</f>
        <v>327469</v>
      </c>
      <c r="L19" s="15" t="n">
        <f aca="false">SUM(K7:K18)</f>
        <v>1741052</v>
      </c>
      <c r="M19" s="36" t="str">
        <f aca="false">IF(L19&lt;='Premissas Precept'!$B$96,"Simples","Presumido")</f>
        <v>Simples</v>
      </c>
      <c r="N19" s="39" t="n">
        <f aca="false">IF(M19="Simples",IF(L19&lt;=0,'Premissas Precept'!$C$24,(L19*LOOKUP(L19,'Premissas Precept'!$B$24:$B$29,'Premissas Precept'!$C$24:$C$29)-LOOKUP(L19,'Premissas Precept'!$B$24:$B$29,'Premissas Precept'!$D$24:$D$29))/L19)+IF(L19&gt;'Premissas Precept'!$B$102,'Premissas Precept'!$B$101,0),(('Premissas Precept'!$B$98+'Premissas Precept'!$B$99)*'Premissas Precept'!$B$97*K19+0.1*MAX(0,'Premissas Precept'!$B$97*K19-20000)+('Premissas Precept'!$B$100+'Premissas Precept'!$B$101)*K19)/K19)</f>
        <v>0.195178351938943</v>
      </c>
      <c r="O19" s="15" t="n">
        <f aca="false">K19*N19</f>
        <v>63914.8597310936</v>
      </c>
      <c r="P19" s="15" t="n">
        <f aca="false">C19*'Premissas Precept'!$B$15</f>
        <v>12240</v>
      </c>
      <c r="Q19" s="15" t="n">
        <f aca="false">C19*'Premissas Precept'!$B$90</f>
        <v>20400</v>
      </c>
      <c r="R19" s="15" t="n">
        <f aca="false">K19*'Premissas Precept'!$B$16</f>
        <v>6549.38</v>
      </c>
      <c r="S19" s="15" t="n">
        <f aca="false">B19*'Premissas Precept'!$B$91</f>
        <v>16000</v>
      </c>
      <c r="T19" s="15" t="n">
        <f aca="false">(I19+J19)*'Premissas Precept'!$B$17</f>
        <v>3499.25</v>
      </c>
      <c r="U19" s="15" t="n">
        <f aca="false">(I19+J19)*'Premissas Precept'!$B$18</f>
        <v>24494.75</v>
      </c>
      <c r="V19" s="15" t="n">
        <f aca="false">D19*'Premissas Precept'!$B$19+E19*'Premissas Precept'!$B$20</f>
        <v>3600</v>
      </c>
      <c r="W19" s="23" t="n">
        <f aca="false">SUM(O19:V19)</f>
        <v>150698.239731094</v>
      </c>
      <c r="X19" s="15" t="n">
        <f aca="false">'Premissas Precept'!$B$42</f>
        <v>12000</v>
      </c>
      <c r="Y19" s="15" t="n">
        <f aca="false">IF(A19&gt;='Premissas Precept'!$B$47,'Premissas Precept'!$B$48*K19,0)</f>
        <v>80229.905</v>
      </c>
      <c r="Z19" s="23" t="n">
        <f aca="false">X19+Y19</f>
        <v>92229.905</v>
      </c>
      <c r="AA19" s="23" t="n">
        <f aca="false">K19-W19-Z19</f>
        <v>84540.8552689064</v>
      </c>
      <c r="AB19" s="15" t="n">
        <f aca="false">Y19/'Premissas Precept'!$B$45</f>
        <v>11461.415</v>
      </c>
      <c r="AC19" s="36" t="str">
        <f aca="false">IF(AA19&gt;=0,"Sim","Não")</f>
        <v>Sim</v>
      </c>
    </row>
    <row r="20" customFormat="false" ht="15" hidden="false" customHeight="false" outlineLevel="0" collapsed="false">
      <c r="A20" s="34" t="n">
        <v>15</v>
      </c>
      <c r="B20" s="38" t="n">
        <f aca="false">ROUND($B$9*(1+'Premissas Precept'!$B$88)^(A20-4),0)</f>
        <v>17</v>
      </c>
      <c r="C20" s="38" t="n">
        <f aca="false">C19-ROUND(C19*'Premissas Precept'!$B$89,0)+B20</f>
        <v>149</v>
      </c>
      <c r="D20" s="37" t="n">
        <v>4</v>
      </c>
      <c r="E20" s="37" t="n">
        <v>1</v>
      </c>
      <c r="F20" s="38" t="n">
        <f aca="false">D20*'Premissas Precept'!$B$92+SUMPRODUCT(($A$6:$A$29&gt;A20-'Premissas Precept'!$B$93)*($A$6:$A$29&lt;=A20)*$E$6:$E$29)</f>
        <v>7</v>
      </c>
      <c r="G20" s="38" t="n">
        <f aca="false">MAX(0,C20-F20)</f>
        <v>142</v>
      </c>
      <c r="H20" s="15" t="n">
        <f aca="false">G20*'Premissas Precept'!$B$8</f>
        <v>283432</v>
      </c>
      <c r="I20" s="15" t="n">
        <f aca="false">D20*'Premissas Precept'!$B$9</f>
        <v>39988</v>
      </c>
      <c r="J20" s="15" t="n">
        <f aca="false">E20*'Premissas Precept'!$B$10</f>
        <v>29997</v>
      </c>
      <c r="K20" s="23" t="n">
        <f aca="false">H20+I20+J20</f>
        <v>353417</v>
      </c>
      <c r="L20" s="15" t="n">
        <f aca="false">SUM(K8:K19)</f>
        <v>2052553</v>
      </c>
      <c r="M20" s="36" t="str">
        <f aca="false">IF(L20&lt;='Premissas Precept'!$B$96,"Simples","Presumido")</f>
        <v>Simples</v>
      </c>
      <c r="N20" s="39" t="n">
        <f aca="false">IF(M20="Simples",IF(L20&lt;=0,'Premissas Precept'!$C$24,(L20*LOOKUP(L20,'Premissas Precept'!$B$24:$B$29,'Premissas Precept'!$C$24:$C$29)-LOOKUP(L20,'Premissas Precept'!$B$24:$B$29,'Premissas Precept'!$D$24:$D$29))/L20)+IF(L20&gt;'Premissas Precept'!$B$102,'Premissas Precept'!$B$101,0),(('Premissas Precept'!$B$98+'Premissas Precept'!$B$99)*'Premissas Precept'!$B$97*K20+0.1*MAX(0,'Premissas Precept'!$B$97*K20-20000)+('Premissas Precept'!$B$100+'Premissas Precept'!$B$101)*K20)/K20)</f>
        <v>0.199744995622525</v>
      </c>
      <c r="O20" s="15" t="n">
        <f aca="false">K20*N20</f>
        <v>70593.2771179258</v>
      </c>
      <c r="P20" s="15" t="n">
        <f aca="false">C20*'Premissas Precept'!$B$15</f>
        <v>13410</v>
      </c>
      <c r="Q20" s="15" t="n">
        <f aca="false">C20*'Premissas Precept'!$B$90</f>
        <v>22350</v>
      </c>
      <c r="R20" s="15" t="n">
        <f aca="false">K20*'Premissas Precept'!$B$16</f>
        <v>7068.34</v>
      </c>
      <c r="S20" s="15" t="n">
        <f aca="false">B20*'Premissas Precept'!$B$91</f>
        <v>17000</v>
      </c>
      <c r="T20" s="15" t="n">
        <f aca="false">(I20+J20)*'Premissas Precept'!$B$17</f>
        <v>3499.25</v>
      </c>
      <c r="U20" s="15" t="n">
        <f aca="false">(I20+J20)*'Premissas Precept'!$B$18</f>
        <v>24494.75</v>
      </c>
      <c r="V20" s="15" t="n">
        <f aca="false">D20*'Premissas Precept'!$B$19+E20*'Premissas Precept'!$B$20</f>
        <v>3600</v>
      </c>
      <c r="W20" s="23" t="n">
        <f aca="false">SUM(O20:V20)</f>
        <v>162015.617117926</v>
      </c>
      <c r="X20" s="15" t="n">
        <f aca="false">'Premissas Precept'!$B$42</f>
        <v>12000</v>
      </c>
      <c r="Y20" s="15" t="n">
        <f aca="false">IF(A20&gt;='Premissas Precept'!$B$47,'Premissas Precept'!$B$48*K20,0)</f>
        <v>86587.165</v>
      </c>
      <c r="Z20" s="23" t="n">
        <f aca="false">X20+Y20</f>
        <v>98587.165</v>
      </c>
      <c r="AA20" s="23" t="n">
        <f aca="false">K20-W20-Z20</f>
        <v>92814.2178820742</v>
      </c>
      <c r="AB20" s="15" t="n">
        <f aca="false">Y20/'Premissas Precept'!$B$45</f>
        <v>12369.595</v>
      </c>
      <c r="AC20" s="36" t="str">
        <f aca="false">IF(AA20&gt;=0,"Sim","Não")</f>
        <v>Sim</v>
      </c>
    </row>
    <row r="21" customFormat="false" ht="15" hidden="false" customHeight="false" outlineLevel="0" collapsed="false">
      <c r="A21" s="34" t="n">
        <v>16</v>
      </c>
      <c r="B21" s="38" t="n">
        <f aca="false">ROUND($B$9*(1+'Premissas Precept'!$B$88)^(A21-4),0)</f>
        <v>18</v>
      </c>
      <c r="C21" s="38" t="n">
        <f aca="false">C20-ROUND(C20*'Premissas Precept'!$B$89,0)+B21</f>
        <v>163</v>
      </c>
      <c r="D21" s="37" t="n">
        <v>4</v>
      </c>
      <c r="E21" s="37" t="n">
        <v>1</v>
      </c>
      <c r="F21" s="38" t="n">
        <f aca="false">D21*'Premissas Precept'!$B$92+SUMPRODUCT(($A$6:$A$29&gt;A21-'Premissas Precept'!$B$93)*($A$6:$A$29&lt;=A21)*$E$6:$E$29)</f>
        <v>7</v>
      </c>
      <c r="G21" s="38" t="n">
        <f aca="false">MAX(0,C21-F21)</f>
        <v>156</v>
      </c>
      <c r="H21" s="15" t="n">
        <f aca="false">G21*'Premissas Precept'!$B$8</f>
        <v>311376</v>
      </c>
      <c r="I21" s="15" t="n">
        <f aca="false">D21*'Premissas Precept'!$B$9</f>
        <v>39988</v>
      </c>
      <c r="J21" s="15" t="n">
        <f aca="false">E21*'Premissas Precept'!$B$10</f>
        <v>29997</v>
      </c>
      <c r="K21" s="23" t="n">
        <f aca="false">H21+I21+J21</f>
        <v>381361</v>
      </c>
      <c r="L21" s="15" t="n">
        <f aca="false">SUM(K9:K20)</f>
        <v>2376030</v>
      </c>
      <c r="M21" s="36" t="str">
        <f aca="false">IF(L21&lt;='Premissas Precept'!$B$96,"Simples","Presumido")</f>
        <v>Simples</v>
      </c>
      <c r="N21" s="39" t="n">
        <f aca="false">IF(M21="Simples",IF(L21&lt;=0,'Premissas Precept'!$C$24,(L21*LOOKUP(L21,'Premissas Precept'!$B$24:$B$29,'Premissas Precept'!$C$24:$C$29)-LOOKUP(L21,'Premissas Precept'!$B$24:$B$29,'Premissas Precept'!$D$24:$D$29))/L21)+IF(L21&gt;'Premissas Precept'!$B$102,'Premissas Precept'!$B$101,0),(('Premissas Precept'!$B$98+'Premissas Precept'!$B$99)*'Premissas Precept'!$B$97*K21+0.1*MAX(0,'Premissas Precept'!$B$97*K21-20000)+('Premissas Precept'!$B$100+'Premissas Precept'!$B$101)*K21)/K21)</f>
        <v>0.203863966364061</v>
      </c>
      <c r="O21" s="15" t="n">
        <f aca="false">K21*N21</f>
        <v>77745.7660765647</v>
      </c>
      <c r="P21" s="15" t="n">
        <f aca="false">C21*'Premissas Precept'!$B$15</f>
        <v>14670</v>
      </c>
      <c r="Q21" s="15" t="n">
        <f aca="false">C21*'Premissas Precept'!$B$90</f>
        <v>24450</v>
      </c>
      <c r="R21" s="15" t="n">
        <f aca="false">K21*'Premissas Precept'!$B$16</f>
        <v>7627.22</v>
      </c>
      <c r="S21" s="15" t="n">
        <f aca="false">B21*'Premissas Precept'!$B$91</f>
        <v>18000</v>
      </c>
      <c r="T21" s="15" t="n">
        <f aca="false">(I21+J21)*'Premissas Precept'!$B$17</f>
        <v>3499.25</v>
      </c>
      <c r="U21" s="15" t="n">
        <f aca="false">(I21+J21)*'Premissas Precept'!$B$18</f>
        <v>24494.75</v>
      </c>
      <c r="V21" s="15" t="n">
        <f aca="false">D21*'Premissas Precept'!$B$19+E21*'Premissas Precept'!$B$20</f>
        <v>3600</v>
      </c>
      <c r="W21" s="23" t="n">
        <f aca="false">SUM(O21:V21)</f>
        <v>174086.986076565</v>
      </c>
      <c r="X21" s="15" t="n">
        <f aca="false">'Premissas Precept'!$B$42</f>
        <v>12000</v>
      </c>
      <c r="Y21" s="15" t="n">
        <f aca="false">IF(A21&gt;='Premissas Precept'!$B$47,'Premissas Precept'!$B$48*K21,0)</f>
        <v>93433.445</v>
      </c>
      <c r="Z21" s="23" t="n">
        <f aca="false">X21+Y21</f>
        <v>105433.445</v>
      </c>
      <c r="AA21" s="23" t="n">
        <f aca="false">K21-W21-Z21</f>
        <v>101840.568923435</v>
      </c>
      <c r="AB21" s="15" t="n">
        <f aca="false">Y21/'Premissas Precept'!$B$45</f>
        <v>13347.635</v>
      </c>
      <c r="AC21" s="36" t="str">
        <f aca="false">IF(AA21&gt;=0,"Sim","Não")</f>
        <v>Sim</v>
      </c>
    </row>
    <row r="22" customFormat="false" ht="15" hidden="false" customHeight="false" outlineLevel="0" collapsed="false">
      <c r="A22" s="34" t="n">
        <v>17</v>
      </c>
      <c r="B22" s="38" t="n">
        <f aca="false">ROUND($B$9*(1+'Premissas Precept'!$B$88)^(A22-4),0)</f>
        <v>19</v>
      </c>
      <c r="C22" s="38" t="n">
        <f aca="false">C21-ROUND(C21*'Premissas Precept'!$B$89,0)+B22</f>
        <v>177</v>
      </c>
      <c r="D22" s="37" t="n">
        <v>4</v>
      </c>
      <c r="E22" s="37" t="n">
        <v>1</v>
      </c>
      <c r="F22" s="38" t="n">
        <f aca="false">D22*'Premissas Precept'!$B$92+SUMPRODUCT(($A$6:$A$29&gt;A22-'Premissas Precept'!$B$93)*($A$6:$A$29&lt;=A22)*$E$6:$E$29)</f>
        <v>7</v>
      </c>
      <c r="G22" s="38" t="n">
        <f aca="false">MAX(0,C22-F22)</f>
        <v>170</v>
      </c>
      <c r="H22" s="15" t="n">
        <f aca="false">G22*'Premissas Precept'!$B$8</f>
        <v>339320</v>
      </c>
      <c r="I22" s="15" t="n">
        <f aca="false">D22*'Premissas Precept'!$B$9</f>
        <v>39988</v>
      </c>
      <c r="J22" s="15" t="n">
        <f aca="false">E22*'Premissas Precept'!$B$10</f>
        <v>29997</v>
      </c>
      <c r="K22" s="23" t="n">
        <f aca="false">H22+I22+J22</f>
        <v>409305</v>
      </c>
      <c r="L22" s="15" t="n">
        <f aca="false">SUM(K10:K21)</f>
        <v>2699490</v>
      </c>
      <c r="M22" s="36" t="str">
        <f aca="false">IF(L22&lt;='Premissas Precept'!$B$96,"Simples","Presumido")</f>
        <v>Simples</v>
      </c>
      <c r="N22" s="39" t="n">
        <f aca="false">IF(M22="Simples",IF(L22&lt;=0,'Premissas Precept'!$C$24,(L22*LOOKUP(L22,'Premissas Precept'!$B$24:$B$29,'Premissas Precept'!$C$24:$C$29)-LOOKUP(L22,'Premissas Precept'!$B$24:$B$29,'Premissas Precept'!$D$24:$D$29))/L22)+IF(L22&gt;'Premissas Precept'!$B$102,'Premissas Precept'!$B$101,0),(('Premissas Precept'!$B$98+'Premissas Precept'!$B$99)*'Premissas Precept'!$B$97*K22+0.1*MAX(0,'Premissas Precept'!$B$97*K22-20000)+('Premissas Precept'!$B$100+'Premissas Precept'!$B$101)*K22)/K22)</f>
        <v>0.206995654734783</v>
      </c>
      <c r="O22" s="15" t="n">
        <f aca="false">K22*N22</f>
        <v>84724.3564612205</v>
      </c>
      <c r="P22" s="15" t="n">
        <f aca="false">C22*'Premissas Precept'!$B$15</f>
        <v>15930</v>
      </c>
      <c r="Q22" s="15" t="n">
        <f aca="false">C22*'Premissas Precept'!$B$90</f>
        <v>26550</v>
      </c>
      <c r="R22" s="15" t="n">
        <f aca="false">K22*'Premissas Precept'!$B$16</f>
        <v>8186.1</v>
      </c>
      <c r="S22" s="15" t="n">
        <f aca="false">B22*'Premissas Precept'!$B$91</f>
        <v>19000</v>
      </c>
      <c r="T22" s="15" t="n">
        <f aca="false">(I22+J22)*'Premissas Precept'!$B$17</f>
        <v>3499.25</v>
      </c>
      <c r="U22" s="15" t="n">
        <f aca="false">(I22+J22)*'Premissas Precept'!$B$18</f>
        <v>24494.75</v>
      </c>
      <c r="V22" s="15" t="n">
        <f aca="false">D22*'Premissas Precept'!$B$19+E22*'Premissas Precept'!$B$20</f>
        <v>3600</v>
      </c>
      <c r="W22" s="23" t="n">
        <f aca="false">SUM(O22:V22)</f>
        <v>185984.45646122</v>
      </c>
      <c r="X22" s="15" t="n">
        <f aca="false">'Premissas Precept'!$B$42</f>
        <v>12000</v>
      </c>
      <c r="Y22" s="15" t="n">
        <f aca="false">IF(A22&gt;='Premissas Precept'!$B$47,'Premissas Precept'!$B$48*K22,0)</f>
        <v>100279.725</v>
      </c>
      <c r="Z22" s="23" t="n">
        <f aca="false">X22+Y22</f>
        <v>112279.725</v>
      </c>
      <c r="AA22" s="23" t="n">
        <f aca="false">K22-W22-Z22</f>
        <v>111040.81853878</v>
      </c>
      <c r="AB22" s="15" t="n">
        <f aca="false">Y22/'Premissas Precept'!$B$45</f>
        <v>14325.675</v>
      </c>
      <c r="AC22" s="36" t="str">
        <f aca="false">IF(AA22&gt;=0,"Sim","Não")</f>
        <v>Sim</v>
      </c>
    </row>
    <row r="23" customFormat="false" ht="15" hidden="false" customHeight="false" outlineLevel="0" collapsed="false">
      <c r="A23" s="34" t="n">
        <v>18</v>
      </c>
      <c r="B23" s="38" t="n">
        <f aca="false">ROUND($B$9*(1+'Premissas Precept'!$B$88)^(A23-4),0)</f>
        <v>20</v>
      </c>
      <c r="C23" s="38" t="n">
        <f aca="false">C22-ROUND(C22*'Premissas Precept'!$B$89,0)+B23</f>
        <v>192</v>
      </c>
      <c r="D23" s="37" t="n">
        <v>4</v>
      </c>
      <c r="E23" s="37" t="n">
        <v>1</v>
      </c>
      <c r="F23" s="38" t="n">
        <f aca="false">D23*'Premissas Precept'!$B$92+SUMPRODUCT(($A$6:$A$29&gt;A23-'Premissas Precept'!$B$93)*($A$6:$A$29&lt;=A23)*$E$6:$E$29)</f>
        <v>7</v>
      </c>
      <c r="G23" s="38" t="n">
        <f aca="false">MAX(0,C23-F23)</f>
        <v>185</v>
      </c>
      <c r="H23" s="15" t="n">
        <f aca="false">G23*'Premissas Precept'!$B$8</f>
        <v>369260</v>
      </c>
      <c r="I23" s="15" t="n">
        <f aca="false">D23*'Premissas Precept'!$B$9</f>
        <v>39988</v>
      </c>
      <c r="J23" s="15" t="n">
        <f aca="false">E23*'Premissas Precept'!$B$10</f>
        <v>29997</v>
      </c>
      <c r="K23" s="23" t="n">
        <f aca="false">H23+I23+J23</f>
        <v>439245</v>
      </c>
      <c r="L23" s="15" t="n">
        <f aca="false">SUM(K11:K22)</f>
        <v>3030934</v>
      </c>
      <c r="M23" s="36" t="str">
        <f aca="false">IF(L23&lt;='Premissas Precept'!$B$96,"Simples","Presumido")</f>
        <v>Simples</v>
      </c>
      <c r="N23" s="39" t="n">
        <f aca="false">IF(M23="Simples",IF(L23&lt;=0,'Premissas Precept'!$C$24,(L23*LOOKUP(L23,'Premissas Precept'!$B$24:$B$29,'Premissas Precept'!$C$24:$C$29)-LOOKUP(L23,'Premissas Precept'!$B$24:$B$29,'Premissas Precept'!$D$24:$D$29))/L23)+IF(L23&gt;'Premissas Precept'!$B$102,'Premissas Precept'!$B$101,0),(('Premissas Precept'!$B$98+'Premissas Precept'!$B$99)*'Premissas Precept'!$B$97*K23+0.1*MAX(0,'Premissas Precept'!$B$97*K23-20000)+('Premissas Precept'!$B$100+'Premissas Precept'!$B$101)*K23)/K23)</f>
        <v>0.209511266164159</v>
      </c>
      <c r="O23" s="15" t="n">
        <f aca="false">K23*N23</f>
        <v>92026.7761062762</v>
      </c>
      <c r="P23" s="15" t="n">
        <f aca="false">C23*'Premissas Precept'!$B$15</f>
        <v>17280</v>
      </c>
      <c r="Q23" s="15" t="n">
        <f aca="false">C23*'Premissas Precept'!$B$90</f>
        <v>28800</v>
      </c>
      <c r="R23" s="15" t="n">
        <f aca="false">K23*'Premissas Precept'!$B$16</f>
        <v>8784.9</v>
      </c>
      <c r="S23" s="15" t="n">
        <f aca="false">B23*'Premissas Precept'!$B$91</f>
        <v>20000</v>
      </c>
      <c r="T23" s="15" t="n">
        <f aca="false">(I23+J23)*'Premissas Precept'!$B$17</f>
        <v>3499.25</v>
      </c>
      <c r="U23" s="15" t="n">
        <f aca="false">(I23+J23)*'Premissas Precept'!$B$18</f>
        <v>24494.75</v>
      </c>
      <c r="V23" s="15" t="n">
        <f aca="false">D23*'Premissas Precept'!$B$19+E23*'Premissas Precept'!$B$20</f>
        <v>3600</v>
      </c>
      <c r="W23" s="23" t="n">
        <f aca="false">SUM(O23:V23)</f>
        <v>198485.676106276</v>
      </c>
      <c r="X23" s="15" t="n">
        <f aca="false">'Premissas Precept'!$B$42</f>
        <v>12000</v>
      </c>
      <c r="Y23" s="15" t="n">
        <f aca="false">IF(A23&gt;='Premissas Precept'!$B$47,'Premissas Precept'!$B$48*K23,0)</f>
        <v>107615.025</v>
      </c>
      <c r="Z23" s="23" t="n">
        <f aca="false">X23+Y23</f>
        <v>119615.025</v>
      </c>
      <c r="AA23" s="23" t="n">
        <f aca="false">K23-W23-Z23</f>
        <v>121144.298893724</v>
      </c>
      <c r="AB23" s="15" t="n">
        <f aca="false">Y23/'Premissas Precept'!$B$45</f>
        <v>15373.575</v>
      </c>
      <c r="AC23" s="36" t="str">
        <f aca="false">IF(AA23&gt;=0,"Sim","Não")</f>
        <v>Sim</v>
      </c>
    </row>
    <row r="24" customFormat="false" ht="15" hidden="false" customHeight="false" outlineLevel="0" collapsed="false">
      <c r="A24" s="34" t="n">
        <v>19</v>
      </c>
      <c r="B24" s="38" t="n">
        <f aca="false">ROUND($B$9*(1+'Premissas Precept'!$B$88)^(A24-4),0)</f>
        <v>21</v>
      </c>
      <c r="C24" s="38" t="n">
        <f aca="false">C23-ROUND(C23*'Premissas Precept'!$B$89,0)+B24</f>
        <v>207</v>
      </c>
      <c r="D24" s="37" t="n">
        <v>5</v>
      </c>
      <c r="E24" s="37" t="n">
        <v>1</v>
      </c>
      <c r="F24" s="38" t="n">
        <f aca="false">D24*'Premissas Precept'!$B$92+SUMPRODUCT(($A$6:$A$29&gt;A24-'Premissas Precept'!$B$93)*($A$6:$A$29&lt;=A24)*$E$6:$E$29)</f>
        <v>8</v>
      </c>
      <c r="G24" s="38" t="n">
        <f aca="false">MAX(0,C24-F24)</f>
        <v>199</v>
      </c>
      <c r="H24" s="15" t="n">
        <f aca="false">G24*'Premissas Precept'!$B$8</f>
        <v>397204</v>
      </c>
      <c r="I24" s="15" t="n">
        <f aca="false">D24*'Premissas Precept'!$B$9</f>
        <v>49985</v>
      </c>
      <c r="J24" s="15" t="n">
        <f aca="false">E24*'Premissas Precept'!$B$10</f>
        <v>29997</v>
      </c>
      <c r="K24" s="23" t="n">
        <f aca="false">H24+I24+J24</f>
        <v>477186</v>
      </c>
      <c r="L24" s="15" t="n">
        <f aca="false">SUM(K12:K23)</f>
        <v>3344357</v>
      </c>
      <c r="M24" s="36" t="str">
        <f aca="false">IF(L24&lt;='Premissas Precept'!$B$96,"Simples","Presumido")</f>
        <v>Simples</v>
      </c>
      <c r="N24" s="39" t="n">
        <f aca="false">IF(M24="Simples",IF(L24&lt;=0,'Premissas Precept'!$C$24,(L24*LOOKUP(L24,'Premissas Precept'!$B$24:$B$29,'Premissas Precept'!$C$24:$C$29)-LOOKUP(L24,'Premissas Precept'!$B$24:$B$29,'Premissas Precept'!$D$24:$D$29))/L24)+IF(L24&gt;'Premissas Precept'!$B$102,'Premissas Precept'!$B$101,0),(('Premissas Precept'!$B$98+'Premissas Precept'!$B$99)*'Premissas Precept'!$B$97*K24+0.1*MAX(0,'Premissas Precept'!$B$97*K24-20000)+('Premissas Precept'!$B$100+'Premissas Precept'!$B$101)*K24)/K24)</f>
        <v>0.211431408189975</v>
      </c>
      <c r="O24" s="15" t="n">
        <f aca="false">K24*N24</f>
        <v>100892.107948541</v>
      </c>
      <c r="P24" s="15" t="n">
        <f aca="false">C24*'Premissas Precept'!$B$15</f>
        <v>18630</v>
      </c>
      <c r="Q24" s="15" t="n">
        <f aca="false">C24*'Premissas Precept'!$B$90</f>
        <v>31050</v>
      </c>
      <c r="R24" s="15" t="n">
        <f aca="false">K24*'Premissas Precept'!$B$16</f>
        <v>9543.72</v>
      </c>
      <c r="S24" s="15" t="n">
        <f aca="false">B24*'Premissas Precept'!$B$91</f>
        <v>21000</v>
      </c>
      <c r="T24" s="15" t="n">
        <f aca="false">(I24+J24)*'Premissas Precept'!$B$17</f>
        <v>3999.1</v>
      </c>
      <c r="U24" s="15" t="n">
        <f aca="false">(I24+J24)*'Premissas Precept'!$B$18</f>
        <v>27993.7</v>
      </c>
      <c r="V24" s="15" t="n">
        <f aca="false">D24*'Premissas Precept'!$B$19+E24*'Premissas Precept'!$B$20</f>
        <v>4200</v>
      </c>
      <c r="W24" s="23" t="n">
        <f aca="false">SUM(O24:V24)</f>
        <v>217308.627948541</v>
      </c>
      <c r="X24" s="15" t="n">
        <f aca="false">'Premissas Precept'!$B$42</f>
        <v>12000</v>
      </c>
      <c r="Y24" s="15" t="n">
        <f aca="false">IF(A24&gt;='Premissas Precept'!$B$47,'Premissas Precept'!$B$48*K24,0)</f>
        <v>116910.57</v>
      </c>
      <c r="Z24" s="23" t="n">
        <f aca="false">X24+Y24</f>
        <v>128910.57</v>
      </c>
      <c r="AA24" s="23" t="n">
        <f aca="false">K24-W24-Z24</f>
        <v>130966.802051459</v>
      </c>
      <c r="AB24" s="15" t="n">
        <f aca="false">Y24/'Premissas Precept'!$B$45</f>
        <v>16701.51</v>
      </c>
      <c r="AC24" s="36" t="str">
        <f aca="false">IF(AA24&gt;=0,"Sim","Não")</f>
        <v>Sim</v>
      </c>
    </row>
    <row r="25" customFormat="false" ht="15" hidden="false" customHeight="false" outlineLevel="0" collapsed="false">
      <c r="A25" s="34" t="n">
        <v>20</v>
      </c>
      <c r="B25" s="38" t="n">
        <f aca="false">ROUND($B$9*(1+'Premissas Precept'!$B$88)^(A25-4),0)</f>
        <v>22</v>
      </c>
      <c r="C25" s="38" t="n">
        <f aca="false">C24-ROUND(C24*'Premissas Precept'!$B$89,0)+B25</f>
        <v>223</v>
      </c>
      <c r="D25" s="37" t="n">
        <v>5</v>
      </c>
      <c r="E25" s="37" t="n">
        <v>1</v>
      </c>
      <c r="F25" s="38" t="n">
        <f aca="false">D25*'Premissas Precept'!$B$92+SUMPRODUCT(($A$6:$A$29&gt;A25-'Premissas Precept'!$B$93)*($A$6:$A$29&lt;=A25)*$E$6:$E$29)</f>
        <v>8</v>
      </c>
      <c r="G25" s="38" t="n">
        <f aca="false">MAX(0,C25-F25)</f>
        <v>215</v>
      </c>
      <c r="H25" s="15" t="n">
        <f aca="false">G25*'Premissas Precept'!$B$8</f>
        <v>429140</v>
      </c>
      <c r="I25" s="15" t="n">
        <f aca="false">D25*'Premissas Precept'!$B$9</f>
        <v>49985</v>
      </c>
      <c r="J25" s="15" t="n">
        <f aca="false">E25*'Premissas Precept'!$B$10</f>
        <v>29997</v>
      </c>
      <c r="K25" s="23" t="n">
        <f aca="false">H25+I25+J25</f>
        <v>509122</v>
      </c>
      <c r="L25" s="15" t="n">
        <f aca="false">SUM(K13:K24)</f>
        <v>3703762</v>
      </c>
      <c r="M25" s="36" t="str">
        <f aca="false">IF(L25&lt;='Premissas Precept'!$B$96,"Simples","Presumido")</f>
        <v>Simples</v>
      </c>
      <c r="N25" s="39" t="n">
        <f aca="false">IF(M25="Simples",IF(L25&lt;=0,'Premissas Precept'!$C$24,(L25*LOOKUP(L25,'Premissas Precept'!$B$24:$B$29,'Premissas Precept'!$C$24:$C$29)-LOOKUP(L25,'Premissas Precept'!$B$24:$B$29,'Premissas Precept'!$D$24:$D$29))/L25)+IF(L25&gt;'Premissas Precept'!$B$102,'Premissas Precept'!$B$101,0),(('Premissas Precept'!$B$98+'Premissas Precept'!$B$99)*'Premissas Precept'!$B$97*K25+0.1*MAX(0,'Premissas Precept'!$B$97*K25-20000)+('Premissas Precept'!$B$100+'Premissas Precept'!$B$101)*K25)/K25)</f>
        <v>0.209202294855879</v>
      </c>
      <c r="O25" s="15" t="n">
        <f aca="false">K25*N25</f>
        <v>106509.490761615</v>
      </c>
      <c r="P25" s="15" t="n">
        <f aca="false">C25*'Premissas Precept'!$B$15</f>
        <v>20070</v>
      </c>
      <c r="Q25" s="15" t="n">
        <f aca="false">C25*'Premissas Precept'!$B$90</f>
        <v>33450</v>
      </c>
      <c r="R25" s="15" t="n">
        <f aca="false">K25*'Premissas Precept'!$B$16</f>
        <v>10182.44</v>
      </c>
      <c r="S25" s="15" t="n">
        <f aca="false">B25*'Premissas Precept'!$B$91</f>
        <v>22000</v>
      </c>
      <c r="T25" s="15" t="n">
        <f aca="false">(I25+J25)*'Premissas Precept'!$B$17</f>
        <v>3999.1</v>
      </c>
      <c r="U25" s="15" t="n">
        <f aca="false">(I25+J25)*'Premissas Precept'!$B$18</f>
        <v>27993.7</v>
      </c>
      <c r="V25" s="15" t="n">
        <f aca="false">D25*'Premissas Precept'!$B$19+E25*'Premissas Precept'!$B$20</f>
        <v>4200</v>
      </c>
      <c r="W25" s="23" t="n">
        <f aca="false">SUM(O25:V25)</f>
        <v>228404.730761615</v>
      </c>
      <c r="X25" s="15" t="n">
        <f aca="false">'Premissas Precept'!$B$42</f>
        <v>12000</v>
      </c>
      <c r="Y25" s="15" t="n">
        <f aca="false">IF(A25&gt;='Premissas Precept'!$B$47,'Premissas Precept'!$B$48*K25,0)</f>
        <v>124734.89</v>
      </c>
      <c r="Z25" s="23" t="n">
        <f aca="false">X25+Y25</f>
        <v>136734.89</v>
      </c>
      <c r="AA25" s="23" t="n">
        <f aca="false">K25-W25-Z25</f>
        <v>143982.379238385</v>
      </c>
      <c r="AB25" s="15" t="n">
        <f aca="false">Y25/'Premissas Precept'!$B$45</f>
        <v>17819.27</v>
      </c>
      <c r="AC25" s="36" t="str">
        <f aca="false">IF(AA25&gt;=0,"Sim","Não")</f>
        <v>Sim</v>
      </c>
    </row>
    <row r="26" customFormat="false" ht="15" hidden="false" customHeight="false" outlineLevel="0" collapsed="false">
      <c r="A26" s="34" t="n">
        <v>21</v>
      </c>
      <c r="B26" s="38" t="n">
        <f aca="false">ROUND($B$9*(1+'Premissas Precept'!$B$88)^(A26-4),0)</f>
        <v>23</v>
      </c>
      <c r="C26" s="38" t="n">
        <f aca="false">C25-ROUND(C25*'Premissas Precept'!$B$89,0)+B26</f>
        <v>239</v>
      </c>
      <c r="D26" s="37" t="n">
        <v>5</v>
      </c>
      <c r="E26" s="37" t="n">
        <v>1</v>
      </c>
      <c r="F26" s="38" t="n">
        <f aca="false">D26*'Premissas Precept'!$B$92+SUMPRODUCT(($A$6:$A$29&gt;A26-'Premissas Precept'!$B$93)*($A$6:$A$29&lt;=A26)*$E$6:$E$29)</f>
        <v>8</v>
      </c>
      <c r="G26" s="38" t="n">
        <f aca="false">MAX(0,C26-F26)</f>
        <v>231</v>
      </c>
      <c r="H26" s="15" t="n">
        <f aca="false">G26*'Premissas Precept'!$B$8</f>
        <v>461076</v>
      </c>
      <c r="I26" s="15" t="n">
        <f aca="false">D26*'Premissas Precept'!$B$9</f>
        <v>49985</v>
      </c>
      <c r="J26" s="15" t="n">
        <f aca="false">E26*'Premissas Precept'!$B$10</f>
        <v>29997</v>
      </c>
      <c r="K26" s="23" t="n">
        <f aca="false">H26+I26+J26</f>
        <v>541058</v>
      </c>
      <c r="L26" s="15" t="n">
        <f aca="false">SUM(K14:K25)</f>
        <v>4047142</v>
      </c>
      <c r="M26" s="36" t="str">
        <f aca="false">IF(L26&lt;='Premissas Precept'!$B$96,"Simples","Presumido")</f>
        <v>Simples</v>
      </c>
      <c r="N26" s="39" t="n">
        <f aca="false">IF(M26="Simples",IF(L26&lt;=0,'Premissas Precept'!$C$24,(L26*LOOKUP(L26,'Premissas Precept'!$B$24:$B$29,'Premissas Precept'!$C$24:$C$29)-LOOKUP(L26,'Premissas Precept'!$B$24:$B$29,'Premissas Precept'!$D$24:$D$29))/L26)+IF(L26&gt;'Premissas Precept'!$B$102,'Premissas Precept'!$B$101,0),(('Premissas Precept'!$B$98+'Premissas Precept'!$B$99)*'Premissas Precept'!$B$97*K26+0.1*MAX(0,'Premissas Precept'!$B$97*K26-20000)+('Premissas Precept'!$B$100+'Premissas Precept'!$B$101)*K26)/K26)</f>
        <v>0.221572509687083</v>
      </c>
      <c r="O26" s="15" t="n">
        <f aca="false">K26*N26</f>
        <v>119883.578946274</v>
      </c>
      <c r="P26" s="15" t="n">
        <f aca="false">C26*'Premissas Precept'!$B$15</f>
        <v>21510</v>
      </c>
      <c r="Q26" s="15" t="n">
        <f aca="false">C26*'Premissas Precept'!$B$90</f>
        <v>35850</v>
      </c>
      <c r="R26" s="15" t="n">
        <f aca="false">K26*'Premissas Precept'!$B$16</f>
        <v>10821.16</v>
      </c>
      <c r="S26" s="15" t="n">
        <f aca="false">B26*'Premissas Precept'!$B$91</f>
        <v>23000</v>
      </c>
      <c r="T26" s="15" t="n">
        <f aca="false">(I26+J26)*'Premissas Precept'!$B$17</f>
        <v>3999.1</v>
      </c>
      <c r="U26" s="15" t="n">
        <f aca="false">(I26+J26)*'Premissas Precept'!$B$18</f>
        <v>27993.7</v>
      </c>
      <c r="V26" s="15" t="n">
        <f aca="false">D26*'Premissas Precept'!$B$19+E26*'Premissas Precept'!$B$20</f>
        <v>4200</v>
      </c>
      <c r="W26" s="23" t="n">
        <f aca="false">SUM(O26:V26)</f>
        <v>247257.538946274</v>
      </c>
      <c r="X26" s="15" t="n">
        <f aca="false">'Premissas Precept'!$B$42</f>
        <v>12000</v>
      </c>
      <c r="Y26" s="15" t="n">
        <f aca="false">IF(A26&gt;='Premissas Precept'!$B$47,'Premissas Precept'!$B$48*K26,0)</f>
        <v>132559.21</v>
      </c>
      <c r="Z26" s="23" t="n">
        <f aca="false">X26+Y26</f>
        <v>144559.21</v>
      </c>
      <c r="AA26" s="23" t="n">
        <f aca="false">K26-W26-Z26</f>
        <v>149241.251053726</v>
      </c>
      <c r="AB26" s="15" t="n">
        <f aca="false">Y26/'Premissas Precept'!$B$45</f>
        <v>18937.03</v>
      </c>
      <c r="AC26" s="36" t="str">
        <f aca="false">IF(AA26&gt;=0,"Sim","Não")</f>
        <v>Sim</v>
      </c>
    </row>
    <row r="27" customFormat="false" ht="15" hidden="false" customHeight="false" outlineLevel="0" collapsed="false">
      <c r="A27" s="34" t="n">
        <v>22</v>
      </c>
      <c r="B27" s="38" t="n">
        <f aca="false">ROUND($B$9*(1+'Premissas Precept'!$B$88)^(A27-4),0)</f>
        <v>24</v>
      </c>
      <c r="C27" s="38" t="n">
        <f aca="false">C26-ROUND(C26*'Premissas Precept'!$B$89,0)+B27</f>
        <v>256</v>
      </c>
      <c r="D27" s="37" t="n">
        <v>5</v>
      </c>
      <c r="E27" s="37" t="n">
        <v>1</v>
      </c>
      <c r="F27" s="38" t="n">
        <f aca="false">D27*'Premissas Precept'!$B$92+SUMPRODUCT(($A$6:$A$29&gt;A27-'Premissas Precept'!$B$93)*($A$6:$A$29&lt;=A27)*$E$6:$E$29)</f>
        <v>8</v>
      </c>
      <c r="G27" s="38" t="n">
        <f aca="false">MAX(0,C27-F27)</f>
        <v>248</v>
      </c>
      <c r="H27" s="15" t="n">
        <f aca="false">G27*'Premissas Precept'!$B$8</f>
        <v>495008</v>
      </c>
      <c r="I27" s="15" t="n">
        <f aca="false">D27*'Premissas Precept'!$B$9</f>
        <v>49985</v>
      </c>
      <c r="J27" s="15" t="n">
        <f aca="false">E27*'Premissas Precept'!$B$10</f>
        <v>29997</v>
      </c>
      <c r="K27" s="23" t="n">
        <f aca="false">H27+I27+J27</f>
        <v>574990</v>
      </c>
      <c r="L27" s="15" t="n">
        <f aca="false">SUM(K15:K26)</f>
        <v>4420502</v>
      </c>
      <c r="M27" s="36" t="str">
        <f aca="false">IF(L27&lt;='Premissas Precept'!$B$96,"Simples","Presumido")</f>
        <v>Simples</v>
      </c>
      <c r="N27" s="39" t="n">
        <f aca="false">IF(M27="Simples",IF(L27&lt;=0,'Premissas Precept'!$C$24,(L27*LOOKUP(L27,'Premissas Precept'!$B$24:$B$29,'Premissas Precept'!$C$24:$C$29)-LOOKUP(L27,'Premissas Precept'!$B$24:$B$29,'Premissas Precept'!$D$24:$D$29))/L27)+IF(L27&gt;'Premissas Precept'!$B$102,'Premissas Precept'!$B$101,0),(('Premissas Precept'!$B$98+'Premissas Precept'!$B$99)*'Premissas Precept'!$B$97*K27+0.1*MAX(0,'Premissas Precept'!$B$97*K27-20000)+('Premissas Precept'!$B$100+'Premissas Precept'!$B$101)*K27)/K27)</f>
        <v>0.232841928360173</v>
      </c>
      <c r="O27" s="15" t="n">
        <f aca="false">K27*N27</f>
        <v>133881.780387816</v>
      </c>
      <c r="P27" s="15" t="n">
        <f aca="false">C27*'Premissas Precept'!$B$15</f>
        <v>23040</v>
      </c>
      <c r="Q27" s="15" t="n">
        <f aca="false">C27*'Premissas Precept'!$B$90</f>
        <v>38400</v>
      </c>
      <c r="R27" s="15" t="n">
        <f aca="false">K27*'Premissas Precept'!$B$16</f>
        <v>11499.8</v>
      </c>
      <c r="S27" s="15" t="n">
        <f aca="false">B27*'Premissas Precept'!$B$91</f>
        <v>24000</v>
      </c>
      <c r="T27" s="15" t="n">
        <f aca="false">(I27+J27)*'Premissas Precept'!$B$17</f>
        <v>3999.1</v>
      </c>
      <c r="U27" s="15" t="n">
        <f aca="false">(I27+J27)*'Premissas Precept'!$B$18</f>
        <v>27993.7</v>
      </c>
      <c r="V27" s="15" t="n">
        <f aca="false">D27*'Premissas Precept'!$B$19+E27*'Premissas Precept'!$B$20</f>
        <v>4200</v>
      </c>
      <c r="W27" s="23" t="n">
        <f aca="false">SUM(O27:V27)</f>
        <v>267014.380387816</v>
      </c>
      <c r="X27" s="15" t="n">
        <f aca="false">'Premissas Precept'!$B$42</f>
        <v>12000</v>
      </c>
      <c r="Y27" s="15" t="n">
        <f aca="false">IF(A27&gt;='Premissas Precept'!$B$47,'Premissas Precept'!$B$48*K27,0)</f>
        <v>140872.55</v>
      </c>
      <c r="Z27" s="23" t="n">
        <f aca="false">X27+Y27</f>
        <v>152872.55</v>
      </c>
      <c r="AA27" s="23" t="n">
        <f aca="false">K27-W27-Z27</f>
        <v>155103.069612184</v>
      </c>
      <c r="AB27" s="15" t="n">
        <f aca="false">Y27/'Premissas Precept'!$B$45</f>
        <v>20124.65</v>
      </c>
      <c r="AC27" s="36" t="str">
        <f aca="false">IF(AA27&gt;=0,"Sim","Não")</f>
        <v>Sim</v>
      </c>
    </row>
    <row r="28" customFormat="false" ht="15" hidden="false" customHeight="false" outlineLevel="0" collapsed="false">
      <c r="A28" s="34" t="n">
        <v>23</v>
      </c>
      <c r="B28" s="38" t="n">
        <f aca="false">ROUND($B$9*(1+'Premissas Precept'!$B$88)^(A28-4),0)</f>
        <v>25</v>
      </c>
      <c r="C28" s="38" t="n">
        <f aca="false">C27-ROUND(C27*'Premissas Precept'!$B$89,0)+B28</f>
        <v>273</v>
      </c>
      <c r="D28" s="37" t="n">
        <v>5</v>
      </c>
      <c r="E28" s="37" t="n">
        <v>0</v>
      </c>
      <c r="F28" s="38" t="n">
        <f aca="false">D28*'Premissas Precept'!$B$92+SUMPRODUCT(($A$6:$A$29&gt;A28-'Premissas Precept'!$B$93)*($A$6:$A$29&lt;=A28)*$E$6:$E$29)</f>
        <v>7</v>
      </c>
      <c r="G28" s="38" t="n">
        <f aca="false">MAX(0,C28-F28)</f>
        <v>266</v>
      </c>
      <c r="H28" s="15" t="n">
        <f aca="false">G28*'Premissas Precept'!$B$8</f>
        <v>530936</v>
      </c>
      <c r="I28" s="15" t="n">
        <f aca="false">D28*'Premissas Precept'!$B$9</f>
        <v>49985</v>
      </c>
      <c r="J28" s="15" t="n">
        <f aca="false">E28*'Premissas Precept'!$B$10</f>
        <v>0</v>
      </c>
      <c r="K28" s="23" t="n">
        <f aca="false">H28+I28+J28</f>
        <v>580921</v>
      </c>
      <c r="L28" s="15" t="n">
        <f aca="false">SUM(K16:K27)</f>
        <v>4785838</v>
      </c>
      <c r="M28" s="36" t="str">
        <f aca="false">IF(L28&lt;='Premissas Precept'!$B$96,"Simples","Presumido")</f>
        <v>Simples</v>
      </c>
      <c r="N28" s="39" t="n">
        <f aca="false">IF(M28="Simples",IF(L28&lt;=0,'Premissas Precept'!$C$24,(L28*LOOKUP(L28,'Premissas Precept'!$B$24:$B$29,'Premissas Precept'!$C$24:$C$29)-LOOKUP(L28,'Premissas Precept'!$B$24:$B$29,'Premissas Precept'!$D$24:$D$29))/L28)+IF(L28&gt;'Premissas Precept'!$B$102,'Premissas Precept'!$B$101,0),(('Premissas Precept'!$B$98+'Premissas Precept'!$B$99)*'Premissas Precept'!$B$97*K28+0.1*MAX(0,'Premissas Precept'!$B$97*K28-20000)+('Premissas Precept'!$B$100+'Premissas Precept'!$B$101)*K28)/K28)</f>
        <v>0.242167095919252</v>
      </c>
      <c r="O28" s="15" t="n">
        <f aca="false">K28*N28</f>
        <v>140679.951528508</v>
      </c>
      <c r="P28" s="15" t="n">
        <f aca="false">C28*'Premissas Precept'!$B$15</f>
        <v>24570</v>
      </c>
      <c r="Q28" s="15" t="n">
        <f aca="false">C28*'Premissas Precept'!$B$90</f>
        <v>40950</v>
      </c>
      <c r="R28" s="15" t="n">
        <f aca="false">K28*'Premissas Precept'!$B$16</f>
        <v>11618.42</v>
      </c>
      <c r="S28" s="15" t="n">
        <f aca="false">B28*'Premissas Precept'!$B$91</f>
        <v>25000</v>
      </c>
      <c r="T28" s="15" t="n">
        <f aca="false">(I28+J28)*'Premissas Precept'!$B$17</f>
        <v>2499.25</v>
      </c>
      <c r="U28" s="15" t="n">
        <f aca="false">(I28+J28)*'Premissas Precept'!$B$18</f>
        <v>17494.75</v>
      </c>
      <c r="V28" s="15" t="n">
        <f aca="false">D28*'Premissas Precept'!$B$19+E28*'Premissas Precept'!$B$20</f>
        <v>3000</v>
      </c>
      <c r="W28" s="23" t="n">
        <f aca="false">SUM(O28:V28)</f>
        <v>265812.371528508</v>
      </c>
      <c r="X28" s="15" t="n">
        <f aca="false">'Premissas Precept'!$B$42</f>
        <v>12000</v>
      </c>
      <c r="Y28" s="15" t="n">
        <f aca="false">IF(A28&gt;='Premissas Precept'!$B$47,'Premissas Precept'!$B$48*K28,0)</f>
        <v>142325.645</v>
      </c>
      <c r="Z28" s="23" t="n">
        <f aca="false">X28+Y28</f>
        <v>154325.645</v>
      </c>
      <c r="AA28" s="23" t="n">
        <f aca="false">K28-W28-Z28</f>
        <v>160782.983471492</v>
      </c>
      <c r="AB28" s="15" t="n">
        <f aca="false">Y28/'Premissas Precept'!$B$45</f>
        <v>20332.235</v>
      </c>
      <c r="AC28" s="36" t="str">
        <f aca="false">IF(AA28&gt;=0,"Sim","Não")</f>
        <v>Sim</v>
      </c>
    </row>
    <row r="29" customFormat="false" ht="15" hidden="false" customHeight="false" outlineLevel="0" collapsed="false">
      <c r="A29" s="34" t="n">
        <v>24</v>
      </c>
      <c r="B29" s="38" t="n">
        <f aca="false">ROUND($B$9*(1+'Premissas Precept'!$B$88)^(A29-4),0)</f>
        <v>27</v>
      </c>
      <c r="C29" s="38" t="n">
        <f aca="false">C28-ROUND(C28*'Premissas Precept'!$B$89,0)+B29</f>
        <v>292</v>
      </c>
      <c r="D29" s="37" t="n">
        <v>5</v>
      </c>
      <c r="E29" s="37" t="n">
        <v>1</v>
      </c>
      <c r="F29" s="38" t="n">
        <f aca="false">D29*'Premissas Precept'!$B$92+SUMPRODUCT(($A$6:$A$29&gt;A29-'Premissas Precept'!$B$93)*($A$6:$A$29&lt;=A29)*$E$6:$E$29)</f>
        <v>7</v>
      </c>
      <c r="G29" s="38" t="n">
        <f aca="false">MAX(0,C29-F29)</f>
        <v>285</v>
      </c>
      <c r="H29" s="15" t="n">
        <f aca="false">G29*'Premissas Precept'!$B$8</f>
        <v>568860</v>
      </c>
      <c r="I29" s="15" t="n">
        <f aca="false">D29*'Premissas Precept'!$B$9</f>
        <v>49985</v>
      </c>
      <c r="J29" s="15" t="n">
        <f aca="false">E29*'Premissas Precept'!$B$10</f>
        <v>29997</v>
      </c>
      <c r="K29" s="23" t="n">
        <f aca="false">H29+I29+J29</f>
        <v>648842</v>
      </c>
      <c r="L29" s="15" t="n">
        <f aca="false">SUM(K17:K28)</f>
        <v>5155149</v>
      </c>
      <c r="M29" s="36" t="str">
        <f aca="false">IF(L29&lt;='Premissas Precept'!$B$96,"Simples","Presumido")</f>
        <v>Presumido</v>
      </c>
      <c r="N29" s="39" t="n">
        <f aca="false">IF(M29="Simples",IF(L29&lt;=0,'Premissas Precept'!$C$24,(L29*LOOKUP(L29,'Premissas Precept'!$B$24:$B$29,'Premissas Precept'!$C$24:$C$29)-LOOKUP(L29,'Premissas Precept'!$B$24:$B$29,'Premissas Precept'!$D$24:$D$29))/L29)+IF(L29&gt;'Premissas Precept'!$B$102,'Premissas Precept'!$B$101,0),(('Premissas Precept'!$B$98+'Premissas Precept'!$B$99)*'Premissas Precept'!$B$97*K29+0.1*MAX(0,'Premissas Precept'!$B$97*K29-20000)+('Premissas Precept'!$B$100+'Premissas Precept'!$B$101)*K29)/K29)</f>
        <v>0.192217585483061</v>
      </c>
      <c r="O29" s="15" t="n">
        <f aca="false">K29*N29</f>
        <v>124718.8426</v>
      </c>
      <c r="P29" s="15" t="n">
        <f aca="false">C29*'Premissas Precept'!$B$15</f>
        <v>26280</v>
      </c>
      <c r="Q29" s="15" t="n">
        <f aca="false">C29*'Premissas Precept'!$B$90</f>
        <v>43800</v>
      </c>
      <c r="R29" s="15" t="n">
        <f aca="false">K29*'Premissas Precept'!$B$16</f>
        <v>12976.84</v>
      </c>
      <c r="S29" s="15" t="n">
        <f aca="false">B29*'Premissas Precept'!$B$91</f>
        <v>27000</v>
      </c>
      <c r="T29" s="15" t="n">
        <f aca="false">(I29+J29)*'Premissas Precept'!$B$17</f>
        <v>3999.1</v>
      </c>
      <c r="U29" s="15" t="n">
        <f aca="false">(I29+J29)*'Premissas Precept'!$B$18</f>
        <v>27993.7</v>
      </c>
      <c r="V29" s="15" t="n">
        <f aca="false">D29*'Premissas Precept'!$B$19+E29*'Premissas Precept'!$B$20</f>
        <v>4200</v>
      </c>
      <c r="W29" s="23" t="n">
        <f aca="false">SUM(O29:V29)</f>
        <v>270968.4826</v>
      </c>
      <c r="X29" s="15" t="n">
        <f aca="false">'Premissas Precept'!$B$42</f>
        <v>12000</v>
      </c>
      <c r="Y29" s="15" t="n">
        <f aca="false">IF(A29&gt;='Premissas Precept'!$B$47,'Premissas Precept'!$B$48*K29,0)</f>
        <v>158966.29</v>
      </c>
      <c r="Z29" s="23" t="n">
        <f aca="false">X29+Y29</f>
        <v>170966.29</v>
      </c>
      <c r="AA29" s="23" t="n">
        <f aca="false">K29-W29-Z29</f>
        <v>206907.2274</v>
      </c>
      <c r="AB29" s="15" t="n">
        <f aca="false">Y29/'Premissas Precept'!$B$45</f>
        <v>22709.47</v>
      </c>
      <c r="AC29" s="36" t="str">
        <f aca="false">IF(AA29&gt;=0,"Sim","Não")</f>
        <v>Sim</v>
      </c>
    </row>
    <row r="30" customFormat="false" ht="15" hidden="false" customHeight="false" outlineLevel="0" collapsed="false">
      <c r="A30" s="40" t="s">
        <v>216</v>
      </c>
      <c r="B30" s="41" t="n">
        <f aca="false">SUM(B6:B29)</f>
        <v>374</v>
      </c>
      <c r="C30" s="33"/>
      <c r="D30" s="41" t="n">
        <f aca="false">SUM(D6:D29)</f>
        <v>65</v>
      </c>
      <c r="E30" s="41" t="n">
        <f aca="false">SUM(E6:E29)</f>
        <v>15</v>
      </c>
      <c r="F30" s="33"/>
      <c r="G30" s="33"/>
      <c r="H30" s="23" t="n">
        <f aca="false">SUM(H6:H29)</f>
        <v>5890196</v>
      </c>
      <c r="I30" s="23" t="n">
        <f aca="false">SUM(I6:I29)</f>
        <v>649805</v>
      </c>
      <c r="J30" s="23" t="n">
        <f aca="false">SUM(J6:J29)</f>
        <v>449955</v>
      </c>
      <c r="K30" s="23" t="n">
        <f aca="false">SUM(K6:K29)</f>
        <v>6989956</v>
      </c>
      <c r="L30" s="33"/>
      <c r="M30" s="33"/>
      <c r="N30" s="33"/>
      <c r="O30" s="23" t="n">
        <f aca="false">SUM(O6:O29)</f>
        <v>1437695.93223239</v>
      </c>
      <c r="P30" s="23" t="n">
        <f aca="false">SUM(P6:P29)</f>
        <v>275310</v>
      </c>
      <c r="Q30" s="23" t="n">
        <f aca="false">SUM(Q6:Q29)</f>
        <v>458850</v>
      </c>
      <c r="R30" s="23" t="n">
        <f aca="false">SUM(R6:R29)</f>
        <v>139799.12</v>
      </c>
      <c r="S30" s="23" t="n">
        <f aca="false">SUM(S6:S29)</f>
        <v>374000</v>
      </c>
      <c r="T30" s="23" t="n">
        <f aca="false">SUM(T6:T29)</f>
        <v>54988</v>
      </c>
      <c r="U30" s="23" t="n">
        <f aca="false">SUM(U6:U29)</f>
        <v>384916</v>
      </c>
      <c r="V30" s="23" t="n">
        <f aca="false">SUM(V6:V29)</f>
        <v>57000</v>
      </c>
      <c r="W30" s="23" t="n">
        <f aca="false">SUM(W6:W29)</f>
        <v>3182559.05223239</v>
      </c>
      <c r="X30" s="23" t="n">
        <f aca="false">SUM(X6:X29)</f>
        <v>288000</v>
      </c>
      <c r="Y30" s="23" t="n">
        <f aca="false">SUM(Y6:Y29)</f>
        <v>1699824.7</v>
      </c>
      <c r="Z30" s="23" t="n">
        <f aca="false">SUM(Z6:Z29)</f>
        <v>1987824.7</v>
      </c>
      <c r="AA30" s="23" t="n">
        <f aca="false">SUM(AA6:AA29)</f>
        <v>1819572.24776761</v>
      </c>
      <c r="AB30" s="23" t="n">
        <f aca="false">SUM(AB6:AB29)</f>
        <v>242832.1</v>
      </c>
      <c r="AC30" s="33"/>
    </row>
    <row r="32" customFormat="false" ht="15" hidden="false" customHeight="false" outlineLevel="0" collapsed="false">
      <c r="A32" s="42" t="s">
        <v>217</v>
      </c>
    </row>
    <row r="33" customFormat="false" ht="42" hidden="false" customHeight="true" outlineLevel="0" collapsed="false">
      <c r="A33" s="18" t="s">
        <v>218</v>
      </c>
      <c r="B33" s="18"/>
      <c r="C33" s="18" t="s">
        <v>219</v>
      </c>
      <c r="D33" s="18"/>
      <c r="E33" s="18" t="s">
        <v>220</v>
      </c>
      <c r="F33" s="18" t="s">
        <v>221</v>
      </c>
      <c r="G33" s="18" t="s">
        <v>222</v>
      </c>
      <c r="H33" s="18" t="s">
        <v>223</v>
      </c>
      <c r="I33" s="18" t="s">
        <v>224</v>
      </c>
      <c r="J33" s="18" t="s">
        <v>225</v>
      </c>
      <c r="K33" s="18" t="s">
        <v>226</v>
      </c>
      <c r="L33" s="18" t="s">
        <v>227</v>
      </c>
      <c r="M33" s="18" t="s">
        <v>228</v>
      </c>
    </row>
    <row r="34" customFormat="false" ht="15" hidden="false" customHeight="false" outlineLevel="0" collapsed="false">
      <c r="A34" s="43" t="s">
        <v>229</v>
      </c>
      <c r="B34" s="43"/>
      <c r="C34" s="44" t="s">
        <v>230</v>
      </c>
      <c r="D34" s="44"/>
      <c r="E34" s="15" t="n">
        <v>0</v>
      </c>
      <c r="F34" s="15" t="n">
        <v>0</v>
      </c>
      <c r="G34" s="15" t="n">
        <v>0</v>
      </c>
      <c r="H34" s="29" t="n">
        <f aca="false">'Premissas Precept'!B58</f>
        <v>102000</v>
      </c>
      <c r="I34" s="33"/>
      <c r="J34" s="33"/>
      <c r="K34" s="33"/>
      <c r="L34" s="33"/>
      <c r="M34" s="33"/>
    </row>
    <row r="35" customFormat="false" ht="15" hidden="false" customHeight="false" outlineLevel="0" collapsed="false">
      <c r="A35" s="43" t="s">
        <v>231</v>
      </c>
      <c r="B35" s="43"/>
      <c r="C35" s="44" t="s">
        <v>232</v>
      </c>
      <c r="D35" s="44"/>
      <c r="E35" s="29" t="n">
        <f aca="false">AVERAGE(K6:K11)</f>
        <v>52246.6666666667</v>
      </c>
      <c r="F35" s="29" t="n">
        <f aca="false">AVERAGE(W6:W11)</f>
        <v>27272.7494106724</v>
      </c>
      <c r="G35" s="29" t="n">
        <f aca="false">AVERAGE(Z6:Z11)</f>
        <v>22681.3466666667</v>
      </c>
      <c r="H35" s="15" t="n">
        <v>0</v>
      </c>
      <c r="I35" s="24" t="n">
        <f aca="false">F35/E35</f>
        <v>0.521999797320513</v>
      </c>
      <c r="J35" s="15" t="n">
        <f aca="false">E35-F35-G35</f>
        <v>2292.57058932759</v>
      </c>
      <c r="K35" s="45" t="n">
        <f aca="false">AVERAGE(C6:C11)</f>
        <v>21.8333333333333</v>
      </c>
      <c r="L35" s="35" t="n">
        <f aca="false">SUM(D6:D11)</f>
        <v>3</v>
      </c>
      <c r="M35" s="35" t="n">
        <f aca="false">SUM(E6:E11)</f>
        <v>1</v>
      </c>
    </row>
    <row r="36" customFormat="false" ht="15" hidden="false" customHeight="false" outlineLevel="0" collapsed="false">
      <c r="A36" s="43" t="s">
        <v>233</v>
      </c>
      <c r="B36" s="43"/>
      <c r="C36" s="44" t="s">
        <v>234</v>
      </c>
      <c r="D36" s="44"/>
      <c r="E36" s="29" t="n">
        <f aca="false">AVERAGE(K12:K17)</f>
        <v>188007.833333333</v>
      </c>
      <c r="F36" s="29" t="n">
        <f aca="false">AVERAGE(W12:W17)</f>
        <v>84735.8578160415</v>
      </c>
      <c r="G36" s="29" t="n">
        <f aca="false">AVERAGE(Z12:Z17)</f>
        <v>58061.9191666667</v>
      </c>
      <c r="H36" s="15" t="n">
        <v>0</v>
      </c>
      <c r="I36" s="24" t="n">
        <f aca="false">F36/E36</f>
        <v>0.450703868629808</v>
      </c>
      <c r="J36" s="15" t="n">
        <f aca="false">E36-F36-G36</f>
        <v>45210.0563506252</v>
      </c>
      <c r="K36" s="45" t="n">
        <f aca="false">AVERAGE(C12:C17)</f>
        <v>82.8333333333333</v>
      </c>
      <c r="L36" s="35" t="n">
        <f aca="false">SUM(D12:D17)</f>
        <v>8</v>
      </c>
      <c r="M36" s="35" t="n">
        <f aca="false">SUM(E12:E17)</f>
        <v>3</v>
      </c>
    </row>
    <row r="37" customFormat="false" ht="15" hidden="false" customHeight="false" outlineLevel="0" collapsed="false">
      <c r="A37" s="43" t="s">
        <v>235</v>
      </c>
      <c r="B37" s="43"/>
      <c r="C37" s="44" t="s">
        <v>236</v>
      </c>
      <c r="D37" s="44"/>
      <c r="E37" s="29" t="n">
        <f aca="false">AVERAGE(K18:K29)</f>
        <v>462369.083333333</v>
      </c>
      <c r="F37" s="29" t="n">
        <f aca="false">AVERAGE(W18:W29)</f>
        <v>209208.950739342</v>
      </c>
      <c r="G37" s="29" t="n">
        <f aca="false">AVERAGE(Z18:Z29)</f>
        <v>125280.425416667</v>
      </c>
      <c r="H37" s="15" t="n">
        <v>0</v>
      </c>
      <c r="I37" s="24" t="n">
        <f aca="false">F37/E37</f>
        <v>0.452471755315263</v>
      </c>
      <c r="J37" s="15" t="n">
        <f aca="false">E37-F37-G37</f>
        <v>127879.707177324</v>
      </c>
      <c r="K37" s="45" t="n">
        <f aca="false">AVERAGE(C18:C29)</f>
        <v>202.583333333333</v>
      </c>
      <c r="L37" s="35" t="n">
        <f aca="false">SUM(D18:D29)</f>
        <v>54</v>
      </c>
      <c r="M37" s="35" t="n">
        <f aca="false">SUM(E18:E29)</f>
        <v>11</v>
      </c>
    </row>
    <row r="40" customFormat="false" ht="15" hidden="false" customHeight="false" outlineLevel="0" collapsed="false">
      <c r="A40" s="42" t="s">
        <v>237</v>
      </c>
    </row>
    <row r="41" customFormat="false" ht="30" hidden="false" customHeight="true" outlineLevel="0" collapsed="false">
      <c r="A41" s="18" t="s">
        <v>238</v>
      </c>
      <c r="B41" s="18"/>
      <c r="C41" s="18"/>
      <c r="D41" s="18"/>
      <c r="E41" s="18" t="s">
        <v>239</v>
      </c>
      <c r="F41" s="18" t="s">
        <v>240</v>
      </c>
      <c r="G41" s="18" t="s">
        <v>241</v>
      </c>
    </row>
    <row r="42" customFormat="false" ht="15" hidden="false" customHeight="false" outlineLevel="0" collapsed="false">
      <c r="A42" s="46" t="s">
        <v>242</v>
      </c>
      <c r="B42" s="46"/>
      <c r="C42" s="46"/>
      <c r="D42" s="46"/>
      <c r="E42" s="45" t="n">
        <f aca="false">AVERAGE(G18:G29)</f>
        <v>195.333333333333</v>
      </c>
      <c r="F42" s="15" t="n">
        <f aca="false">'Premissas Precept'!B8</f>
        <v>1996</v>
      </c>
      <c r="G42" s="15" t="n">
        <f aca="false">E42*F42</f>
        <v>389885.333333333</v>
      </c>
    </row>
    <row r="43" customFormat="false" ht="15" hidden="false" customHeight="false" outlineLevel="0" collapsed="false">
      <c r="A43" s="46" t="s">
        <v>243</v>
      </c>
      <c r="B43" s="46"/>
      <c r="C43" s="46"/>
      <c r="D43" s="46"/>
      <c r="E43" s="45" t="n">
        <f aca="false">AVERAGE(D18:D29)</f>
        <v>4.5</v>
      </c>
      <c r="F43" s="15" t="n">
        <f aca="false">'Premissas Precept'!B9</f>
        <v>9997</v>
      </c>
      <c r="G43" s="15" t="n">
        <f aca="false">E43*F43</f>
        <v>44986.5</v>
      </c>
    </row>
    <row r="44" customFormat="false" ht="15" hidden="false" customHeight="false" outlineLevel="0" collapsed="false">
      <c r="A44" s="46" t="s">
        <v>244</v>
      </c>
      <c r="B44" s="46"/>
      <c r="C44" s="46"/>
      <c r="D44" s="46"/>
      <c r="E44" s="45" t="n">
        <f aca="false">AVERAGE(E18:E29)</f>
        <v>0.916666666666667</v>
      </c>
      <c r="F44" s="15" t="n">
        <f aca="false">'Premissas Precept'!B10</f>
        <v>29997</v>
      </c>
      <c r="G44" s="15" t="n">
        <f aca="false">E44*F44</f>
        <v>27497.25</v>
      </c>
    </row>
    <row r="45" customFormat="false" ht="15" hidden="false" customHeight="false" outlineLevel="0" collapsed="false">
      <c r="A45" s="43" t="s">
        <v>245</v>
      </c>
      <c r="B45" s="43"/>
      <c r="C45" s="43"/>
      <c r="D45" s="43"/>
      <c r="E45" s="45"/>
      <c r="F45" s="15"/>
      <c r="G45" s="29" t="n">
        <f aca="false">SUM(G42:G44)</f>
        <v>462369.083333333</v>
      </c>
    </row>
    <row r="46" customFormat="false" ht="15" hidden="false" customHeight="false" outlineLevel="0" collapsed="false">
      <c r="A46" s="46" t="s">
        <v>246</v>
      </c>
      <c r="B46" s="46"/>
      <c r="C46" s="46"/>
      <c r="D46" s="46"/>
      <c r="E46" s="45" t="n">
        <f aca="false">AVERAGE(C18:C29)</f>
        <v>202.583333333333</v>
      </c>
      <c r="F46" s="15" t="n">
        <f aca="false">'Premissas Precept'!B15</f>
        <v>90</v>
      </c>
      <c r="G46" s="15" t="n">
        <f aca="false">AVERAGE(P18:P29)</f>
        <v>18232.5</v>
      </c>
    </row>
    <row r="47" customFormat="false" ht="15" hidden="false" customHeight="false" outlineLevel="0" collapsed="false">
      <c r="A47" s="46" t="s">
        <v>247</v>
      </c>
      <c r="B47" s="46"/>
      <c r="C47" s="46"/>
      <c r="D47" s="46"/>
      <c r="E47" s="45" t="n">
        <f aca="false">AVERAGE(C18:C29)</f>
        <v>202.583333333333</v>
      </c>
      <c r="F47" s="15" t="n">
        <f aca="false">'Premissas Precept'!B90</f>
        <v>150</v>
      </c>
      <c r="G47" s="15" t="n">
        <f aca="false">AVERAGE(Q18:Q29)</f>
        <v>30387.5</v>
      </c>
    </row>
    <row r="48" customFormat="false" ht="15" hidden="false" customHeight="false" outlineLevel="0" collapsed="false">
      <c r="A48" s="46" t="s">
        <v>248</v>
      </c>
      <c r="B48" s="46"/>
      <c r="C48" s="46"/>
      <c r="D48" s="46"/>
      <c r="E48" s="45"/>
      <c r="F48" s="24" t="n">
        <f aca="false">G48/G45</f>
        <v>0.21169538780655</v>
      </c>
      <c r="G48" s="15" t="n">
        <f aca="false">AVERAGE(O18:O29)</f>
        <v>97881.4024060089</v>
      </c>
    </row>
    <row r="49" customFormat="false" ht="15" hidden="false" customHeight="false" outlineLevel="0" collapsed="false">
      <c r="A49" s="46" t="s">
        <v>249</v>
      </c>
      <c r="B49" s="46"/>
      <c r="C49" s="46"/>
      <c r="D49" s="46"/>
      <c r="E49" s="45"/>
      <c r="F49" s="24" t="n">
        <f aca="false">'Premissas Precept'!B16</f>
        <v>0.02</v>
      </c>
      <c r="G49" s="15" t="n">
        <f aca="false">AVERAGE(R18:R29)</f>
        <v>9247.38166666667</v>
      </c>
    </row>
    <row r="50" customFormat="false" ht="15" hidden="false" customHeight="false" outlineLevel="0" collapsed="false">
      <c r="A50" s="46" t="s">
        <v>250</v>
      </c>
      <c r="B50" s="46"/>
      <c r="C50" s="46"/>
      <c r="D50" s="46"/>
      <c r="E50" s="45" t="n">
        <f aca="false">AVERAGE(B18:B29)</f>
        <v>20.6666666666667</v>
      </c>
      <c r="F50" s="15" t="n">
        <f aca="false">'Premissas Precept'!B91</f>
        <v>1000</v>
      </c>
      <c r="G50" s="15" t="n">
        <f aca="false">AVERAGE(S18:S29)</f>
        <v>20666.6666666667</v>
      </c>
    </row>
    <row r="51" customFormat="false" ht="15" hidden="false" customHeight="false" outlineLevel="0" collapsed="false">
      <c r="A51" s="46" t="s">
        <v>251</v>
      </c>
      <c r="B51" s="46"/>
      <c r="C51" s="46"/>
      <c r="D51" s="46"/>
      <c r="E51" s="45"/>
      <c r="F51" s="24" t="n">
        <f aca="false">'Premissas Precept'!B17</f>
        <v>0.05</v>
      </c>
      <c r="G51" s="15" t="n">
        <f aca="false">AVERAGE(T18:T29)</f>
        <v>3624.1875</v>
      </c>
    </row>
    <row r="52" customFormat="false" ht="15" hidden="false" customHeight="false" outlineLevel="0" collapsed="false">
      <c r="A52" s="46" t="s">
        <v>252</v>
      </c>
      <c r="B52" s="46"/>
      <c r="C52" s="46"/>
      <c r="D52" s="46"/>
      <c r="E52" s="45"/>
      <c r="F52" s="15"/>
      <c r="G52" s="15" t="n">
        <f aca="false">AVERAGE(V18:V29)</f>
        <v>3800</v>
      </c>
    </row>
    <row r="53" customFormat="false" ht="15" hidden="false" customHeight="false" outlineLevel="0" collapsed="false">
      <c r="A53" s="46" t="s">
        <v>253</v>
      </c>
      <c r="B53" s="46"/>
      <c r="C53" s="46"/>
      <c r="D53" s="46"/>
      <c r="E53" s="45"/>
      <c r="F53" s="24" t="n">
        <f aca="false">'Premissas Precept'!B18</f>
        <v>0.35</v>
      </c>
      <c r="G53" s="15" t="n">
        <f aca="false">AVERAGE(U18:U29)</f>
        <v>25369.3125</v>
      </c>
    </row>
    <row r="54" customFormat="false" ht="15" hidden="false" customHeight="false" outlineLevel="0" collapsed="false">
      <c r="A54" s="43" t="s">
        <v>254</v>
      </c>
      <c r="B54" s="43"/>
      <c r="C54" s="43"/>
      <c r="D54" s="43"/>
      <c r="E54" s="45"/>
      <c r="F54" s="24" t="n">
        <f aca="false">G54/G45</f>
        <v>0.452471755315263</v>
      </c>
      <c r="G54" s="29" t="n">
        <f aca="false">SUM(G46:G53)</f>
        <v>209208.950739342</v>
      </c>
    </row>
    <row r="55" customFormat="false" ht="15" hidden="false" customHeight="false" outlineLevel="0" collapsed="false">
      <c r="A55" s="46" t="s">
        <v>255</v>
      </c>
      <c r="B55" s="46"/>
      <c r="C55" s="46"/>
      <c r="D55" s="46"/>
      <c r="E55" s="45"/>
      <c r="F55" s="24" t="n">
        <f aca="false">'Premissas Precept'!B48</f>
        <v>0.245</v>
      </c>
      <c r="G55" s="15" t="n">
        <f aca="false">AVERAGE(Y18:Y29)</f>
        <v>113280.425416667</v>
      </c>
    </row>
    <row r="56" customFormat="false" ht="15" hidden="false" customHeight="false" outlineLevel="0" collapsed="false">
      <c r="A56" s="46" t="s">
        <v>256</v>
      </c>
      <c r="B56" s="46"/>
      <c r="C56" s="46"/>
      <c r="D56" s="46"/>
      <c r="E56" s="45"/>
      <c r="F56" s="15"/>
      <c r="G56" s="15" t="n">
        <f aca="false">'Premissas Precept'!B42</f>
        <v>12000</v>
      </c>
    </row>
    <row r="57" customFormat="false" ht="15" hidden="false" customHeight="false" outlineLevel="0" collapsed="false">
      <c r="A57" s="43" t="s">
        <v>257</v>
      </c>
      <c r="B57" s="43"/>
      <c r="C57" s="43"/>
      <c r="D57" s="43"/>
      <c r="E57" s="45"/>
      <c r="F57" s="15"/>
      <c r="G57" s="29" t="n">
        <f aca="false">G55+G56</f>
        <v>125280.425416667</v>
      </c>
    </row>
  </sheetData>
  <mergeCells count="24">
    <mergeCell ref="A34:B34"/>
    <mergeCell ref="C34:D34"/>
    <mergeCell ref="A35:B35"/>
    <mergeCell ref="C35:D35"/>
    <mergeCell ref="A36:B36"/>
    <mergeCell ref="C36:D36"/>
    <mergeCell ref="A37:B37"/>
    <mergeCell ref="C37:D37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100"/>
    <col collapsed="false" customWidth="true" hidden="false" outlineLevel="0" max="4" min="4" style="0" width="70"/>
  </cols>
  <sheetData>
    <row r="1" customFormat="false" ht="21.75" hidden="false" customHeight="true" outlineLevel="0" collapsed="false">
      <c r="A1" s="6" t="s">
        <v>258</v>
      </c>
      <c r="B1" s="7"/>
      <c r="C1" s="7"/>
    </row>
    <row r="2" customFormat="false" ht="15" hidden="false" customHeight="false" outlineLevel="0" collapsed="false">
      <c r="A2" s="8" t="s">
        <v>259</v>
      </c>
    </row>
    <row r="4" customFormat="false" ht="15" hidden="false" customHeight="false" outlineLevel="0" collapsed="false">
      <c r="A4" s="9" t="s">
        <v>260</v>
      </c>
      <c r="B4" s="10"/>
      <c r="C4" s="10"/>
    </row>
    <row r="5" customFormat="false" ht="22.35" hidden="false" customHeight="false" outlineLevel="0" collapsed="false">
      <c r="A5" s="11" t="s">
        <v>261</v>
      </c>
      <c r="B5" s="14" t="n">
        <v>1300000</v>
      </c>
      <c r="C5" s="13" t="s">
        <v>262</v>
      </c>
    </row>
    <row r="6" customFormat="false" ht="22.35" hidden="false" customHeight="false" outlineLevel="0" collapsed="false">
      <c r="A6" s="11" t="s">
        <v>263</v>
      </c>
      <c r="B6" s="17" t="n">
        <v>0.12</v>
      </c>
      <c r="C6" s="13" t="s">
        <v>264</v>
      </c>
    </row>
    <row r="7" customFormat="false" ht="15" hidden="false" customHeight="false" outlineLevel="0" collapsed="false">
      <c r="A7" s="11" t="s">
        <v>265</v>
      </c>
      <c r="B7" s="14" t="n">
        <v>10</v>
      </c>
      <c r="C7" s="13" t="s">
        <v>266</v>
      </c>
    </row>
    <row r="8" customFormat="false" ht="22.35" hidden="false" customHeight="false" outlineLevel="0" collapsed="false">
      <c r="A8" s="11" t="s">
        <v>267</v>
      </c>
      <c r="B8" s="17" t="n">
        <v>0.25</v>
      </c>
      <c r="C8" s="13" t="s">
        <v>268</v>
      </c>
    </row>
    <row r="9" customFormat="false" ht="15" hidden="false" customHeight="false" outlineLevel="0" collapsed="false">
      <c r="A9" s="11" t="s">
        <v>269</v>
      </c>
      <c r="B9" s="17" t="n">
        <v>0.7</v>
      </c>
      <c r="C9" s="13" t="s">
        <v>270</v>
      </c>
    </row>
    <row r="10" customFormat="false" ht="15" hidden="false" customHeight="false" outlineLevel="0" collapsed="false">
      <c r="A10" s="11" t="s">
        <v>271</v>
      </c>
      <c r="B10" s="17" t="n">
        <v>0.2</v>
      </c>
      <c r="C10" s="13" t="s">
        <v>272</v>
      </c>
    </row>
    <row r="11" customFormat="false" ht="15" hidden="false" customHeight="false" outlineLevel="0" collapsed="false">
      <c r="A11" s="11" t="s">
        <v>273</v>
      </c>
      <c r="B11" s="15" t="n">
        <f aca="false">12*'Premissas Precept'!B8</f>
        <v>23952</v>
      </c>
      <c r="C11" s="13" t="s">
        <v>274</v>
      </c>
    </row>
    <row r="13" customFormat="false" ht="15" hidden="false" customHeight="false" outlineLevel="0" collapsed="false">
      <c r="A13" s="9" t="s">
        <v>275</v>
      </c>
      <c r="B13" s="10"/>
      <c r="C13" s="10"/>
    </row>
    <row r="14" customFormat="false" ht="15" hidden="false" customHeight="false" outlineLevel="0" collapsed="false">
      <c r="A14" s="18" t="s">
        <v>276</v>
      </c>
      <c r="B14" s="18" t="s">
        <v>277</v>
      </c>
      <c r="C14" s="18" t="s">
        <v>278</v>
      </c>
      <c r="D14" s="18" t="s">
        <v>279</v>
      </c>
    </row>
    <row r="15" customFormat="false" ht="15" hidden="false" customHeight="false" outlineLevel="0" collapsed="false">
      <c r="A15" s="22" t="s">
        <v>280</v>
      </c>
      <c r="B15" s="47" t="n">
        <f aca="false">ROUND(B5*B6/B7,0)</f>
        <v>15600</v>
      </c>
      <c r="C15" s="29" t="n">
        <f aca="false">B15*$B$11</f>
        <v>373651200</v>
      </c>
      <c r="D15" s="13" t="s">
        <v>281</v>
      </c>
    </row>
    <row r="16" customFormat="false" ht="15" hidden="false" customHeight="false" outlineLevel="0" collapsed="false">
      <c r="A16" s="22" t="s">
        <v>282</v>
      </c>
      <c r="B16" s="47" t="n">
        <f aca="false">ROUND(B15*B8,0)</f>
        <v>3900</v>
      </c>
      <c r="C16" s="29" t="n">
        <f aca="false">B16*$B$11</f>
        <v>93412800</v>
      </c>
      <c r="D16" s="13" t="s">
        <v>283</v>
      </c>
    </row>
    <row r="17" customFormat="false" ht="22.35" hidden="false" customHeight="false" outlineLevel="0" collapsed="false">
      <c r="A17" s="22" t="s">
        <v>284</v>
      </c>
      <c r="B17" s="47" t="n">
        <f aca="false">ROUND(B16*B9*B10,0)</f>
        <v>546</v>
      </c>
      <c r="C17" s="29" t="n">
        <f aca="false">B17*$B$11</f>
        <v>13077792</v>
      </c>
      <c r="D17" s="13" t="s">
        <v>285</v>
      </c>
    </row>
    <row r="18" customFormat="false" ht="15" hidden="false" customHeight="false" outlineLevel="0" collapsed="false">
      <c r="A18" s="22" t="s">
        <v>286</v>
      </c>
      <c r="B18" s="47" t="n">
        <f aca="false">'Projeção Mensal'!C29</f>
        <v>292</v>
      </c>
      <c r="C18" s="29" t="n">
        <f aca="false">'Projeção Mensal'!G29*$B$11</f>
        <v>6826320</v>
      </c>
      <c r="D18" s="13" t="s">
        <v>287</v>
      </c>
    </row>
    <row r="20" customFormat="false" ht="15" hidden="false" customHeight="false" outlineLevel="0" collapsed="false">
      <c r="A20" s="9" t="s">
        <v>288</v>
      </c>
      <c r="B20" s="10"/>
      <c r="C20" s="10"/>
    </row>
    <row r="21" customFormat="false" ht="15" hidden="false" customHeight="false" outlineLevel="0" collapsed="false">
      <c r="A21" s="11" t="s">
        <v>289</v>
      </c>
      <c r="B21" s="48" t="n">
        <f aca="false">'Projeção Mensal'!C17</f>
        <v>111</v>
      </c>
      <c r="C21" s="13" t="s">
        <v>290</v>
      </c>
    </row>
    <row r="22" customFormat="false" ht="15" hidden="false" customHeight="false" outlineLevel="0" collapsed="false">
      <c r="A22" s="11" t="s">
        <v>291</v>
      </c>
      <c r="B22" s="24" t="n">
        <f aca="false">B21/B17</f>
        <v>0.203296703296703</v>
      </c>
      <c r="C22" s="13"/>
    </row>
    <row r="23" customFormat="false" ht="15" hidden="false" customHeight="false" outlineLevel="0" collapsed="false">
      <c r="A23" s="11" t="s">
        <v>292</v>
      </c>
      <c r="B23" s="24" t="n">
        <f aca="false">B18/B16</f>
        <v>0.0748717948717949</v>
      </c>
      <c r="C23" s="13"/>
    </row>
    <row r="24" customFormat="false" ht="15" hidden="false" customHeight="false" outlineLevel="0" collapsed="false">
      <c r="A24" s="11" t="s">
        <v>293</v>
      </c>
      <c r="B24" s="24" t="n">
        <f aca="false">B18/B15</f>
        <v>0.0187179487179487</v>
      </c>
      <c r="C24" s="13"/>
    </row>
    <row r="25" customFormat="false" ht="22.35" hidden="false" customHeight="false" outlineLevel="0" collapsed="false">
      <c r="A25" s="11" t="s">
        <v>294</v>
      </c>
      <c r="B25" s="24" t="n">
        <f aca="false">B18/B17</f>
        <v>0.534798534798535</v>
      </c>
      <c r="C25" s="13" t="str">
        <f aca="false">IF(B25&gt;0.3,"Mais de 30% de um nicho em 2 anos é agressivo: no ano 2, parte dos clientes deve vir de fora do beachhead (outras áreas do direito em SP, como trabalhista, cível e tributário), que é o caminho de expansão do plano.","O SOM cabe com folga no beachhead.")</f>
        <v>Mais de 30% de um nicho em 2 anos é agressivo: no ano 2, parte dos clientes deve vir de fora do beachhead (outras áreas do direito em SP, como trabalhista, cível e tributário), que é o caminho de expansão do plano.</v>
      </c>
    </row>
    <row r="27" customFormat="false" ht="15" hidden="false" customHeight="false" outlineLevel="0" collapsed="false">
      <c r="A27" s="21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6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49" t="s">
        <v>296</v>
      </c>
      <c r="B1" s="50"/>
      <c r="C1" s="50"/>
      <c r="D1" s="50"/>
      <c r="E1" s="50"/>
      <c r="F1" s="50"/>
      <c r="G1" s="50"/>
    </row>
    <row r="2" customFormat="false" ht="15" hidden="false" customHeight="true" outlineLevel="0" collapsed="false">
      <c r="A2" s="51" t="s">
        <v>297</v>
      </c>
    </row>
    <row r="4" customFormat="false" ht="31.5" hidden="false" customHeight="true" outlineLevel="0" collapsed="false">
      <c r="A4" s="18" t="s">
        <v>298</v>
      </c>
      <c r="B4" s="18" t="s">
        <v>196</v>
      </c>
      <c r="C4" s="18" t="s">
        <v>208</v>
      </c>
      <c r="D4" s="18" t="s">
        <v>211</v>
      </c>
      <c r="E4" s="18" t="s">
        <v>212</v>
      </c>
      <c r="F4" s="18" t="s">
        <v>223</v>
      </c>
      <c r="G4" s="18" t="s">
        <v>299</v>
      </c>
    </row>
    <row r="5" customFormat="false" ht="15" hidden="false" customHeight="true" outlineLevel="0" collapsed="false">
      <c r="A5" s="52" t="n">
        <v>0</v>
      </c>
      <c r="B5" s="53" t="n">
        <v>0</v>
      </c>
      <c r="C5" s="53" t="n">
        <v>0</v>
      </c>
      <c r="D5" s="53" t="n">
        <v>0</v>
      </c>
      <c r="E5" s="54" t="n">
        <f aca="false">B5-C5-D5</f>
        <v>0</v>
      </c>
      <c r="F5" s="53" t="n">
        <f aca="false">'Premissas Precept'!B58</f>
        <v>102000</v>
      </c>
      <c r="G5" s="55" t="n">
        <f aca="false">E5-F5</f>
        <v>-102000</v>
      </c>
    </row>
    <row r="6" customFormat="false" ht="15" hidden="false" customHeight="true" outlineLevel="0" collapsed="false">
      <c r="A6" s="52" t="n">
        <v>1</v>
      </c>
      <c r="B6" s="53" t="n">
        <f aca="false">'Projeção Mensal'!K6</f>
        <v>5988</v>
      </c>
      <c r="C6" s="53" t="n">
        <f aca="false">'Projeção Mensal'!W6</f>
        <v>4767.9</v>
      </c>
      <c r="D6" s="53" t="n">
        <f aca="false">'Projeção Mensal'!Z6</f>
        <v>12000</v>
      </c>
      <c r="E6" s="54" t="n">
        <f aca="false">B6-C6-D6</f>
        <v>-10779.9</v>
      </c>
      <c r="F6" s="53"/>
      <c r="G6" s="55" t="n">
        <f aca="false">E6-F6</f>
        <v>-10779.9</v>
      </c>
    </row>
    <row r="7" customFormat="false" ht="15" hidden="false" customHeight="true" outlineLevel="0" collapsed="false">
      <c r="A7" s="52" t="n">
        <v>2</v>
      </c>
      <c r="B7" s="53" t="n">
        <f aca="false">'Projeção Mensal'!K7</f>
        <v>15968</v>
      </c>
      <c r="C7" s="53" t="n">
        <f aca="false">'Projeção Mensal'!W7</f>
        <v>9714.4</v>
      </c>
      <c r="D7" s="53" t="n">
        <f aca="false">'Projeção Mensal'!Z7</f>
        <v>12000</v>
      </c>
      <c r="E7" s="54" t="n">
        <f aca="false">B7-C7-D7</f>
        <v>-5746.4</v>
      </c>
      <c r="F7" s="53"/>
      <c r="G7" s="55" t="n">
        <f aca="false">E7-F7</f>
        <v>-5746.4</v>
      </c>
    </row>
    <row r="8" customFormat="false" ht="15" hidden="false" customHeight="true" outlineLevel="0" collapsed="false">
      <c r="A8" s="52" t="n">
        <v>3</v>
      </c>
      <c r="B8" s="53" t="n">
        <f aca="false">'Projeção Mensal'!K8</f>
        <v>29940</v>
      </c>
      <c r="C8" s="53" t="n">
        <f aca="false">'Projeção Mensal'!W8</f>
        <v>15839.5</v>
      </c>
      <c r="D8" s="53" t="n">
        <f aca="false">'Projeção Mensal'!Z8</f>
        <v>12000</v>
      </c>
      <c r="E8" s="54" t="n">
        <f aca="false">B8-C8-D8</f>
        <v>2100.5</v>
      </c>
      <c r="F8" s="53"/>
      <c r="G8" s="55" t="n">
        <f aca="false">E8-F8</f>
        <v>2100.5</v>
      </c>
    </row>
    <row r="9" customFormat="false" ht="15" hidden="false" customHeight="true" outlineLevel="0" collapsed="false">
      <c r="A9" s="52" t="n">
        <v>4</v>
      </c>
      <c r="B9" s="53" t="n">
        <f aca="false">'Projeção Mensal'!K9</f>
        <v>57901</v>
      </c>
      <c r="C9" s="53" t="n">
        <f aca="false">'Projeção Mensal'!W9</f>
        <v>30923.8237821797</v>
      </c>
      <c r="D9" s="53" t="n">
        <f aca="false">'Projeção Mensal'!Z9</f>
        <v>26185.745</v>
      </c>
      <c r="E9" s="54" t="n">
        <f aca="false">B9-C9-D9</f>
        <v>791.431217820256</v>
      </c>
      <c r="F9" s="53"/>
      <c r="G9" s="55" t="n">
        <f aca="false">E9-F9</f>
        <v>791.431217820256</v>
      </c>
    </row>
    <row r="10" customFormat="false" ht="15" hidden="false" customHeight="true" outlineLevel="0" collapsed="false">
      <c r="A10" s="52" t="n">
        <v>5</v>
      </c>
      <c r="B10" s="53" t="n">
        <f aca="false">'Projeção Mensal'!K10</f>
        <v>77861</v>
      </c>
      <c r="C10" s="53" t="n">
        <f aca="false">'Projeção Mensal'!W10</f>
        <v>38507.2960736632</v>
      </c>
      <c r="D10" s="53" t="n">
        <f aca="false">'Projeção Mensal'!Z10</f>
        <v>31075.945</v>
      </c>
      <c r="E10" s="54" t="n">
        <f aca="false">B10-C10-D10</f>
        <v>8277.75892633678</v>
      </c>
      <c r="F10" s="53"/>
      <c r="G10" s="55" t="n">
        <f aca="false">E10-F10</f>
        <v>8277.75892633678</v>
      </c>
    </row>
    <row r="11" customFormat="false" ht="15" hidden="false" customHeight="true" outlineLevel="0" collapsed="false">
      <c r="A11" s="52" t="n">
        <v>6</v>
      </c>
      <c r="B11" s="53" t="n">
        <f aca="false">'Projeção Mensal'!K11</f>
        <v>125822</v>
      </c>
      <c r="C11" s="53" t="n">
        <f aca="false">'Projeção Mensal'!W11</f>
        <v>63883.5766081915</v>
      </c>
      <c r="D11" s="53" t="n">
        <f aca="false">'Projeção Mensal'!Z11</f>
        <v>42826.39</v>
      </c>
      <c r="E11" s="54" t="n">
        <f aca="false">B11-C11-D11</f>
        <v>19112.0333918085</v>
      </c>
      <c r="F11" s="53"/>
      <c r="G11" s="55" t="n">
        <f aca="false">E11-F11</f>
        <v>19112.0333918085</v>
      </c>
    </row>
    <row r="12" customFormat="false" ht="15" hidden="false" customHeight="true" outlineLevel="0" collapsed="false">
      <c r="A12" s="52" t="n">
        <v>7</v>
      </c>
      <c r="B12" s="53" t="n">
        <f aca="false">'Projeção Mensal'!K12</f>
        <v>117781</v>
      </c>
      <c r="C12" s="53" t="n">
        <f aca="false">'Projeção Mensal'!W12</f>
        <v>53501.8963512824</v>
      </c>
      <c r="D12" s="53" t="n">
        <f aca="false">'Projeção Mensal'!Z12</f>
        <v>40856.345</v>
      </c>
      <c r="E12" s="54" t="n">
        <f aca="false">B12-C12-D12</f>
        <v>23422.7586487176</v>
      </c>
      <c r="F12" s="53"/>
      <c r="G12" s="55" t="n">
        <f aca="false">E12-F12</f>
        <v>23422.7586487176</v>
      </c>
    </row>
    <row r="13" customFormat="false" ht="15" hidden="false" customHeight="true" outlineLevel="0" collapsed="false">
      <c r="A13" s="52" t="n">
        <v>8</v>
      </c>
      <c r="B13" s="53" t="n">
        <f aca="false">'Projeção Mensal'!K13</f>
        <v>165742</v>
      </c>
      <c r="C13" s="53" t="n">
        <f aca="false">'Projeção Mensal'!W13</f>
        <v>79095.9632625023</v>
      </c>
      <c r="D13" s="53" t="n">
        <f aca="false">'Projeção Mensal'!Z13</f>
        <v>52606.79</v>
      </c>
      <c r="E13" s="54" t="n">
        <f aca="false">B13-C13-D13</f>
        <v>34039.2467374977</v>
      </c>
      <c r="F13" s="53"/>
      <c r="G13" s="55" t="n">
        <f aca="false">E13-F13</f>
        <v>34039.2467374977</v>
      </c>
    </row>
    <row r="14" customFormat="false" ht="15" hidden="false" customHeight="true" outlineLevel="0" collapsed="false">
      <c r="A14" s="52" t="n">
        <v>9</v>
      </c>
      <c r="B14" s="53" t="n">
        <f aca="false">'Projeção Mensal'!K14</f>
        <v>167698</v>
      </c>
      <c r="C14" s="53" t="n">
        <f aca="false">'Projeção Mensal'!W14</f>
        <v>75207.3927249109</v>
      </c>
      <c r="D14" s="53" t="n">
        <f aca="false">'Projeção Mensal'!Z14</f>
        <v>53086.01</v>
      </c>
      <c r="E14" s="54" t="n">
        <f aca="false">B14-C14-D14</f>
        <v>39404.5972750891</v>
      </c>
      <c r="F14" s="53"/>
      <c r="G14" s="55" t="n">
        <f aca="false">E14-F14</f>
        <v>39404.5972750891</v>
      </c>
    </row>
    <row r="15" customFormat="false" ht="15" hidden="false" customHeight="true" outlineLevel="0" collapsed="false">
      <c r="A15" s="52" t="n">
        <v>10</v>
      </c>
      <c r="B15" s="53" t="n">
        <f aca="false">'Projeção Mensal'!K15</f>
        <v>209654</v>
      </c>
      <c r="C15" s="53" t="n">
        <f aca="false">'Projeção Mensal'!W15</f>
        <v>95573.5880621969</v>
      </c>
      <c r="D15" s="53" t="n">
        <f aca="false">'Projeção Mensal'!Z15</f>
        <v>63365.23</v>
      </c>
      <c r="E15" s="54" t="n">
        <f aca="false">B15-C15-D15</f>
        <v>50715.1819378031</v>
      </c>
      <c r="F15" s="53"/>
      <c r="G15" s="55" t="n">
        <f aca="false">E15-F15</f>
        <v>50715.1819378031</v>
      </c>
    </row>
    <row r="16" customFormat="false" ht="15" hidden="false" customHeight="true" outlineLevel="0" collapsed="false">
      <c r="A16" s="52" t="n">
        <v>11</v>
      </c>
      <c r="B16" s="53" t="n">
        <f aca="false">'Projeção Mensal'!K16</f>
        <v>211610</v>
      </c>
      <c r="C16" s="53" t="n">
        <f aca="false">'Projeção Mensal'!W16</f>
        <v>91475.0411264375</v>
      </c>
      <c r="D16" s="53" t="n">
        <f aca="false">'Projeção Mensal'!Z16</f>
        <v>63844.45</v>
      </c>
      <c r="E16" s="54" t="n">
        <f aca="false">B16-C16-D16</f>
        <v>56290.5088735625</v>
      </c>
      <c r="F16" s="53"/>
      <c r="G16" s="55" t="n">
        <f aca="false">E16-F16</f>
        <v>56290.5088735625</v>
      </c>
    </row>
    <row r="17" customFormat="false" ht="15" hidden="false" customHeight="true" outlineLevel="0" collapsed="false">
      <c r="A17" s="52" t="n">
        <v>12</v>
      </c>
      <c r="B17" s="53" t="n">
        <f aca="false">'Projeção Mensal'!K17</f>
        <v>255562</v>
      </c>
      <c r="C17" s="53" t="n">
        <f aca="false">'Projeção Mensal'!W17</f>
        <v>113561.265368919</v>
      </c>
      <c r="D17" s="53" t="n">
        <f aca="false">'Projeção Mensal'!Z17</f>
        <v>74612.69</v>
      </c>
      <c r="E17" s="54" t="n">
        <f aca="false">B17-C17-D17</f>
        <v>67388.044631081</v>
      </c>
      <c r="F17" s="53"/>
      <c r="G17" s="55" t="n">
        <f aca="false">E17-F17</f>
        <v>67388.044631081</v>
      </c>
    </row>
    <row r="18" customFormat="false" ht="15" hidden="false" customHeight="true" outlineLevel="0" collapsed="false">
      <c r="A18" s="52" t="n">
        <v>13</v>
      </c>
      <c r="B18" s="53" t="n">
        <f aca="false">'Projeção Mensal'!K18</f>
        <v>305513</v>
      </c>
      <c r="C18" s="53" t="n">
        <f aca="false">'Projeção Mensal'!W18</f>
        <v>142470.301206273</v>
      </c>
      <c r="D18" s="53" t="n">
        <f aca="false">'Projeção Mensal'!Z18</f>
        <v>86850.685</v>
      </c>
      <c r="E18" s="54" t="n">
        <f aca="false">B18-C18-D18</f>
        <v>76192.0137937271</v>
      </c>
      <c r="F18" s="53"/>
      <c r="G18" s="55" t="n">
        <f aca="false">E18-F18</f>
        <v>76192.0137937271</v>
      </c>
    </row>
    <row r="19" customFormat="false" ht="15" hidden="false" customHeight="true" outlineLevel="0" collapsed="false">
      <c r="A19" s="52" t="n">
        <v>14</v>
      </c>
      <c r="B19" s="53" t="n">
        <f aca="false">'Projeção Mensal'!K19</f>
        <v>327469</v>
      </c>
      <c r="C19" s="53" t="n">
        <f aca="false">'Projeção Mensal'!W19</f>
        <v>150698.239731094</v>
      </c>
      <c r="D19" s="53" t="n">
        <f aca="false">'Projeção Mensal'!Z19</f>
        <v>92229.905</v>
      </c>
      <c r="E19" s="54" t="n">
        <f aca="false">B19-C19-D19</f>
        <v>84540.8552689064</v>
      </c>
      <c r="F19" s="53"/>
      <c r="G19" s="55" t="n">
        <f aca="false">E19-F19</f>
        <v>84540.8552689064</v>
      </c>
    </row>
    <row r="20" customFormat="false" ht="15" hidden="false" customHeight="true" outlineLevel="0" collapsed="false">
      <c r="A20" s="52" t="n">
        <v>15</v>
      </c>
      <c r="B20" s="53" t="n">
        <f aca="false">'Projeção Mensal'!K20</f>
        <v>353417</v>
      </c>
      <c r="C20" s="53" t="n">
        <f aca="false">'Projeção Mensal'!W20</f>
        <v>162015.617117926</v>
      </c>
      <c r="D20" s="53" t="n">
        <f aca="false">'Projeção Mensal'!Z20</f>
        <v>98587.165</v>
      </c>
      <c r="E20" s="54" t="n">
        <f aca="false">B20-C20-D20</f>
        <v>92814.2178820742</v>
      </c>
      <c r="F20" s="53"/>
      <c r="G20" s="55" t="n">
        <f aca="false">E20-F20</f>
        <v>92814.2178820742</v>
      </c>
    </row>
    <row r="21" customFormat="false" ht="15" hidden="false" customHeight="true" outlineLevel="0" collapsed="false">
      <c r="A21" s="52" t="n">
        <v>16</v>
      </c>
      <c r="B21" s="53" t="n">
        <f aca="false">'Projeção Mensal'!K21</f>
        <v>381361</v>
      </c>
      <c r="C21" s="53" t="n">
        <f aca="false">'Projeção Mensal'!W21</f>
        <v>174086.986076565</v>
      </c>
      <c r="D21" s="53" t="n">
        <f aca="false">'Projeção Mensal'!Z21</f>
        <v>105433.445</v>
      </c>
      <c r="E21" s="54" t="n">
        <f aca="false">B21-C21-D21</f>
        <v>101840.568923435</v>
      </c>
      <c r="F21" s="53"/>
      <c r="G21" s="55" t="n">
        <f aca="false">E21-F21</f>
        <v>101840.568923435</v>
      </c>
    </row>
    <row r="22" customFormat="false" ht="15" hidden="false" customHeight="true" outlineLevel="0" collapsed="false">
      <c r="A22" s="52" t="n">
        <v>17</v>
      </c>
      <c r="B22" s="53" t="n">
        <f aca="false">'Projeção Mensal'!K22</f>
        <v>409305</v>
      </c>
      <c r="C22" s="53" t="n">
        <f aca="false">'Projeção Mensal'!W22</f>
        <v>185984.45646122</v>
      </c>
      <c r="D22" s="53" t="n">
        <f aca="false">'Projeção Mensal'!Z22</f>
        <v>112279.725</v>
      </c>
      <c r="E22" s="54" t="n">
        <f aca="false">B22-C22-D22</f>
        <v>111040.81853878</v>
      </c>
      <c r="F22" s="53"/>
      <c r="G22" s="55" t="n">
        <f aca="false">E22-F22</f>
        <v>111040.81853878</v>
      </c>
    </row>
    <row r="23" customFormat="false" ht="15" hidden="false" customHeight="true" outlineLevel="0" collapsed="false">
      <c r="A23" s="52" t="n">
        <v>18</v>
      </c>
      <c r="B23" s="53" t="n">
        <f aca="false">'Projeção Mensal'!K23</f>
        <v>439245</v>
      </c>
      <c r="C23" s="53" t="n">
        <f aca="false">'Projeção Mensal'!W23</f>
        <v>198485.676106276</v>
      </c>
      <c r="D23" s="53" t="n">
        <f aca="false">'Projeção Mensal'!Z23</f>
        <v>119615.025</v>
      </c>
      <c r="E23" s="54" t="n">
        <f aca="false">B23-C23-D23</f>
        <v>121144.298893724</v>
      </c>
      <c r="F23" s="53"/>
      <c r="G23" s="55" t="n">
        <f aca="false">E23-F23</f>
        <v>121144.298893724</v>
      </c>
    </row>
    <row r="24" customFormat="false" ht="15" hidden="false" customHeight="true" outlineLevel="0" collapsed="false">
      <c r="A24" s="52" t="n">
        <v>19</v>
      </c>
      <c r="B24" s="53" t="n">
        <f aca="false">'Projeção Mensal'!K24</f>
        <v>477186</v>
      </c>
      <c r="C24" s="53" t="n">
        <f aca="false">'Projeção Mensal'!W24</f>
        <v>217308.627948541</v>
      </c>
      <c r="D24" s="53" t="n">
        <f aca="false">'Projeção Mensal'!Z24</f>
        <v>128910.57</v>
      </c>
      <c r="E24" s="54" t="n">
        <f aca="false">B24-C24-D24</f>
        <v>130966.802051459</v>
      </c>
      <c r="F24" s="53"/>
      <c r="G24" s="55" t="n">
        <f aca="false">E24-F24</f>
        <v>130966.802051459</v>
      </c>
    </row>
    <row r="25" customFormat="false" ht="15" hidden="false" customHeight="true" outlineLevel="0" collapsed="false">
      <c r="A25" s="52" t="n">
        <v>20</v>
      </c>
      <c r="B25" s="53" t="n">
        <f aca="false">'Projeção Mensal'!K25</f>
        <v>509122</v>
      </c>
      <c r="C25" s="53" t="n">
        <f aca="false">'Projeção Mensal'!W25</f>
        <v>228404.730761615</v>
      </c>
      <c r="D25" s="53" t="n">
        <f aca="false">'Projeção Mensal'!Z25</f>
        <v>136734.89</v>
      </c>
      <c r="E25" s="54" t="n">
        <f aca="false">B25-C25-D25</f>
        <v>143982.379238385</v>
      </c>
      <c r="F25" s="53"/>
      <c r="G25" s="55" t="n">
        <f aca="false">E25-F25</f>
        <v>143982.379238385</v>
      </c>
    </row>
    <row r="26" customFormat="false" ht="15" hidden="false" customHeight="true" outlineLevel="0" collapsed="false">
      <c r="A26" s="52" t="n">
        <v>21</v>
      </c>
      <c r="B26" s="53" t="n">
        <f aca="false">'Projeção Mensal'!K26</f>
        <v>541058</v>
      </c>
      <c r="C26" s="53" t="n">
        <f aca="false">'Projeção Mensal'!W26</f>
        <v>247257.538946274</v>
      </c>
      <c r="D26" s="53" t="n">
        <f aca="false">'Projeção Mensal'!Z26</f>
        <v>144559.21</v>
      </c>
      <c r="E26" s="54" t="n">
        <f aca="false">B26-C26-D26</f>
        <v>149241.251053726</v>
      </c>
      <c r="F26" s="53"/>
      <c r="G26" s="55" t="n">
        <f aca="false">E26-F26</f>
        <v>149241.251053726</v>
      </c>
    </row>
    <row r="27" customFormat="false" ht="15" hidden="false" customHeight="true" outlineLevel="0" collapsed="false">
      <c r="A27" s="52" t="n">
        <v>22</v>
      </c>
      <c r="B27" s="53" t="n">
        <f aca="false">'Projeção Mensal'!K27</f>
        <v>574990</v>
      </c>
      <c r="C27" s="53" t="n">
        <f aca="false">'Projeção Mensal'!W27</f>
        <v>267014.380387816</v>
      </c>
      <c r="D27" s="53" t="n">
        <f aca="false">'Projeção Mensal'!Z27</f>
        <v>152872.55</v>
      </c>
      <c r="E27" s="54" t="n">
        <f aca="false">B27-C27-D27</f>
        <v>155103.069612184</v>
      </c>
      <c r="F27" s="53"/>
      <c r="G27" s="55" t="n">
        <f aca="false">E27-F27</f>
        <v>155103.069612184</v>
      </c>
    </row>
    <row r="28" customFormat="false" ht="15" hidden="false" customHeight="true" outlineLevel="0" collapsed="false">
      <c r="A28" s="52" t="n">
        <v>23</v>
      </c>
      <c r="B28" s="53" t="n">
        <f aca="false">'Projeção Mensal'!K28</f>
        <v>580921</v>
      </c>
      <c r="C28" s="53" t="n">
        <f aca="false">'Projeção Mensal'!W28</f>
        <v>265812.371528508</v>
      </c>
      <c r="D28" s="53" t="n">
        <f aca="false">'Projeção Mensal'!Z28</f>
        <v>154325.645</v>
      </c>
      <c r="E28" s="54" t="n">
        <f aca="false">B28-C28-D28</f>
        <v>160782.983471492</v>
      </c>
      <c r="F28" s="53"/>
      <c r="G28" s="55" t="n">
        <f aca="false">E28-F28</f>
        <v>160782.983471492</v>
      </c>
    </row>
    <row r="29" customFormat="false" ht="15" hidden="false" customHeight="true" outlineLevel="0" collapsed="false">
      <c r="A29" s="52" t="n">
        <v>24</v>
      </c>
      <c r="B29" s="53" t="n">
        <f aca="false">'Projeção Mensal'!K29</f>
        <v>648842</v>
      </c>
      <c r="C29" s="53" t="n">
        <f aca="false">'Projeção Mensal'!W29</f>
        <v>270968.4826</v>
      </c>
      <c r="D29" s="53" t="n">
        <f aca="false">'Projeção Mensal'!Z29</f>
        <v>170966.29</v>
      </c>
      <c r="E29" s="54" t="n">
        <f aca="false">B29-C29-D29</f>
        <v>206907.2274</v>
      </c>
      <c r="F29" s="53"/>
      <c r="G29" s="55" t="n">
        <f aca="false">E29-F29</f>
        <v>206907.2274</v>
      </c>
    </row>
    <row r="30" customFormat="false" ht="15" hidden="false" customHeight="true" outlineLevel="0" collapsed="false">
      <c r="A30" s="56" t="s">
        <v>216</v>
      </c>
      <c r="B30" s="55" t="n">
        <f aca="false">SUM(B5:B29)</f>
        <v>6989956</v>
      </c>
      <c r="C30" s="55" t="n">
        <f aca="false">SUM(C5:C29)</f>
        <v>3182559.05223239</v>
      </c>
      <c r="D30" s="55" t="n">
        <f aca="false">SUM(D5:D29)</f>
        <v>1987824.7</v>
      </c>
      <c r="E30" s="55" t="n">
        <f aca="false">SUM(E5:E29)</f>
        <v>1819572.24776761</v>
      </c>
      <c r="F30" s="55" t="n">
        <f aca="false">SUM(F5:F29)</f>
        <v>102000</v>
      </c>
      <c r="G30" s="55" t="n">
        <f aca="false">SUM(G5:G29)</f>
        <v>1717572.24776761</v>
      </c>
    </row>
    <row r="32" customFormat="false" ht="15" hidden="false" customHeight="true" outlineLevel="0" collapsed="false">
      <c r="A32" s="57" t="s">
        <v>300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6"/>
    <col collapsed="false" customWidth="true" hidden="false" outlineLevel="0" max="7" min="6" style="1" width="20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49" t="s">
        <v>301</v>
      </c>
      <c r="B1" s="50"/>
      <c r="C1" s="50"/>
      <c r="D1" s="50"/>
      <c r="E1" s="50"/>
      <c r="F1" s="50"/>
      <c r="G1" s="50"/>
      <c r="H1" s="50"/>
    </row>
    <row r="2" customFormat="false" ht="15" hidden="false" customHeight="true" outlineLevel="0" collapsed="false">
      <c r="A2" s="51" t="s">
        <v>302</v>
      </c>
    </row>
    <row r="4" customFormat="false" ht="31.5" hidden="false" customHeight="true" outlineLevel="0" collapsed="false">
      <c r="A4" s="18" t="s">
        <v>298</v>
      </c>
      <c r="B4" s="18" t="s">
        <v>196</v>
      </c>
      <c r="C4" s="18" t="s">
        <v>208</v>
      </c>
      <c r="D4" s="18" t="s">
        <v>211</v>
      </c>
      <c r="E4" s="18" t="s">
        <v>223</v>
      </c>
      <c r="F4" s="18" t="s">
        <v>299</v>
      </c>
      <c r="G4" s="18" t="s">
        <v>303</v>
      </c>
      <c r="H4" s="18" t="s">
        <v>304</v>
      </c>
    </row>
    <row r="5" customFormat="false" ht="15" hidden="false" customHeight="true" outlineLevel="0" collapsed="false">
      <c r="A5" s="52" t="n">
        <v>0</v>
      </c>
      <c r="B5" s="54" t="n">
        <f aca="false">'Fluxo de Caixa'!B5</f>
        <v>0</v>
      </c>
      <c r="C5" s="54" t="n">
        <f aca="false">'Fluxo de Caixa'!C5</f>
        <v>0</v>
      </c>
      <c r="D5" s="54" t="n">
        <f aca="false">'Fluxo de Caixa'!D5</f>
        <v>0</v>
      </c>
      <c r="E5" s="54" t="n">
        <f aca="false">'Fluxo de Caixa'!F5</f>
        <v>102000</v>
      </c>
      <c r="F5" s="54" t="n">
        <f aca="false">'Fluxo de Caixa'!G5</f>
        <v>-102000</v>
      </c>
      <c r="G5" s="55" t="n">
        <f aca="false">F5</f>
        <v>-102000</v>
      </c>
      <c r="H5" s="58" t="str">
        <f aca="false">IF(G5&gt;=0,"Sim","Não")</f>
        <v>Não</v>
      </c>
    </row>
    <row r="6" customFormat="false" ht="15" hidden="false" customHeight="true" outlineLevel="0" collapsed="false">
      <c r="A6" s="52" t="n">
        <v>1</v>
      </c>
      <c r="B6" s="54" t="n">
        <f aca="false">'Fluxo de Caixa'!B6</f>
        <v>5988</v>
      </c>
      <c r="C6" s="54" t="n">
        <f aca="false">'Fluxo de Caixa'!C6</f>
        <v>4767.9</v>
      </c>
      <c r="D6" s="54" t="n">
        <f aca="false">'Fluxo de Caixa'!D6</f>
        <v>12000</v>
      </c>
      <c r="E6" s="54" t="n">
        <f aca="false">'Fluxo de Caixa'!F6</f>
        <v>0</v>
      </c>
      <c r="F6" s="54" t="n">
        <f aca="false">'Fluxo de Caixa'!G6</f>
        <v>-10779.9</v>
      </c>
      <c r="G6" s="55" t="n">
        <f aca="false">G5+F6</f>
        <v>-112779.9</v>
      </c>
      <c r="H6" s="58" t="str">
        <f aca="false">IF(G6&gt;=0,"Sim","Não")</f>
        <v>Não</v>
      </c>
    </row>
    <row r="7" customFormat="false" ht="15" hidden="false" customHeight="true" outlineLevel="0" collapsed="false">
      <c r="A7" s="52" t="n">
        <v>2</v>
      </c>
      <c r="B7" s="54" t="n">
        <f aca="false">'Fluxo de Caixa'!B7</f>
        <v>15968</v>
      </c>
      <c r="C7" s="54" t="n">
        <f aca="false">'Fluxo de Caixa'!C7</f>
        <v>9714.4</v>
      </c>
      <c r="D7" s="54" t="n">
        <f aca="false">'Fluxo de Caixa'!D7</f>
        <v>12000</v>
      </c>
      <c r="E7" s="54" t="n">
        <f aca="false">'Fluxo de Caixa'!F7</f>
        <v>0</v>
      </c>
      <c r="F7" s="54" t="n">
        <f aca="false">'Fluxo de Caixa'!G7</f>
        <v>-5746.4</v>
      </c>
      <c r="G7" s="55" t="n">
        <f aca="false">G6+F7</f>
        <v>-118526.3</v>
      </c>
      <c r="H7" s="58" t="str">
        <f aca="false">IF(G7&gt;=0,"Sim","Não")</f>
        <v>Não</v>
      </c>
    </row>
    <row r="8" customFormat="false" ht="15" hidden="false" customHeight="true" outlineLevel="0" collapsed="false">
      <c r="A8" s="52" t="n">
        <v>3</v>
      </c>
      <c r="B8" s="54" t="n">
        <f aca="false">'Fluxo de Caixa'!B8</f>
        <v>29940</v>
      </c>
      <c r="C8" s="54" t="n">
        <f aca="false">'Fluxo de Caixa'!C8</f>
        <v>15839.5</v>
      </c>
      <c r="D8" s="54" t="n">
        <f aca="false">'Fluxo de Caixa'!D8</f>
        <v>12000</v>
      </c>
      <c r="E8" s="54" t="n">
        <f aca="false">'Fluxo de Caixa'!F8</f>
        <v>0</v>
      </c>
      <c r="F8" s="54" t="n">
        <f aca="false">'Fluxo de Caixa'!G8</f>
        <v>2100.5</v>
      </c>
      <c r="G8" s="55" t="n">
        <f aca="false">G7+F8</f>
        <v>-116425.8</v>
      </c>
      <c r="H8" s="58" t="str">
        <f aca="false">IF(G8&gt;=0,"Sim","Não")</f>
        <v>Não</v>
      </c>
    </row>
    <row r="9" customFormat="false" ht="15" hidden="false" customHeight="true" outlineLevel="0" collapsed="false">
      <c r="A9" s="52" t="n">
        <v>4</v>
      </c>
      <c r="B9" s="54" t="n">
        <f aca="false">'Fluxo de Caixa'!B9</f>
        <v>57901</v>
      </c>
      <c r="C9" s="54" t="n">
        <f aca="false">'Fluxo de Caixa'!C9</f>
        <v>30923.8237821797</v>
      </c>
      <c r="D9" s="54" t="n">
        <f aca="false">'Fluxo de Caixa'!D9</f>
        <v>26185.745</v>
      </c>
      <c r="E9" s="54" t="n">
        <f aca="false">'Fluxo de Caixa'!F9</f>
        <v>0</v>
      </c>
      <c r="F9" s="54" t="n">
        <f aca="false">'Fluxo de Caixa'!G9</f>
        <v>791.431217820256</v>
      </c>
      <c r="G9" s="55" t="n">
        <f aca="false">G8+F9</f>
        <v>-115634.36878218</v>
      </c>
      <c r="H9" s="58" t="str">
        <f aca="false">IF(G9&gt;=0,"Sim","Não")</f>
        <v>Não</v>
      </c>
    </row>
    <row r="10" customFormat="false" ht="15" hidden="false" customHeight="true" outlineLevel="0" collapsed="false">
      <c r="A10" s="52" t="n">
        <v>5</v>
      </c>
      <c r="B10" s="54" t="n">
        <f aca="false">'Fluxo de Caixa'!B10</f>
        <v>77861</v>
      </c>
      <c r="C10" s="54" t="n">
        <f aca="false">'Fluxo de Caixa'!C10</f>
        <v>38507.2960736632</v>
      </c>
      <c r="D10" s="54" t="n">
        <f aca="false">'Fluxo de Caixa'!D10</f>
        <v>31075.945</v>
      </c>
      <c r="E10" s="54" t="n">
        <f aca="false">'Fluxo de Caixa'!F10</f>
        <v>0</v>
      </c>
      <c r="F10" s="54" t="n">
        <f aca="false">'Fluxo de Caixa'!G10</f>
        <v>8277.75892633678</v>
      </c>
      <c r="G10" s="55" t="n">
        <f aca="false">G9+F10</f>
        <v>-107356.609855843</v>
      </c>
      <c r="H10" s="58" t="str">
        <f aca="false">IF(G10&gt;=0,"Sim","Não")</f>
        <v>Não</v>
      </c>
    </row>
    <row r="11" customFormat="false" ht="15" hidden="false" customHeight="true" outlineLevel="0" collapsed="false">
      <c r="A11" s="52" t="n">
        <v>6</v>
      </c>
      <c r="B11" s="54" t="n">
        <f aca="false">'Fluxo de Caixa'!B11</f>
        <v>125822</v>
      </c>
      <c r="C11" s="54" t="n">
        <f aca="false">'Fluxo de Caixa'!C11</f>
        <v>63883.5766081915</v>
      </c>
      <c r="D11" s="54" t="n">
        <f aca="false">'Fluxo de Caixa'!D11</f>
        <v>42826.39</v>
      </c>
      <c r="E11" s="54" t="n">
        <f aca="false">'Fluxo de Caixa'!F11</f>
        <v>0</v>
      </c>
      <c r="F11" s="54" t="n">
        <f aca="false">'Fluxo de Caixa'!G11</f>
        <v>19112.0333918085</v>
      </c>
      <c r="G11" s="55" t="n">
        <f aca="false">G10+F11</f>
        <v>-88244.5764640344</v>
      </c>
      <c r="H11" s="58" t="str">
        <f aca="false">IF(G11&gt;=0,"Sim","Não")</f>
        <v>Não</v>
      </c>
    </row>
    <row r="12" customFormat="false" ht="15" hidden="false" customHeight="true" outlineLevel="0" collapsed="false">
      <c r="A12" s="52" t="n">
        <v>7</v>
      </c>
      <c r="B12" s="54" t="n">
        <f aca="false">'Fluxo de Caixa'!B12</f>
        <v>117781</v>
      </c>
      <c r="C12" s="54" t="n">
        <f aca="false">'Fluxo de Caixa'!C12</f>
        <v>53501.8963512824</v>
      </c>
      <c r="D12" s="54" t="n">
        <f aca="false">'Fluxo de Caixa'!D12</f>
        <v>40856.345</v>
      </c>
      <c r="E12" s="54" t="n">
        <f aca="false">'Fluxo de Caixa'!F12</f>
        <v>0</v>
      </c>
      <c r="F12" s="54" t="n">
        <f aca="false">'Fluxo de Caixa'!G12</f>
        <v>23422.7586487176</v>
      </c>
      <c r="G12" s="55" t="n">
        <f aca="false">G11+F12</f>
        <v>-64821.8178153168</v>
      </c>
      <c r="H12" s="58" t="str">
        <f aca="false">IF(G12&gt;=0,"Sim","Não")</f>
        <v>Não</v>
      </c>
    </row>
    <row r="13" customFormat="false" ht="15" hidden="false" customHeight="true" outlineLevel="0" collapsed="false">
      <c r="A13" s="52" t="n">
        <v>8</v>
      </c>
      <c r="B13" s="54" t="n">
        <f aca="false">'Fluxo de Caixa'!B13</f>
        <v>165742</v>
      </c>
      <c r="C13" s="54" t="n">
        <f aca="false">'Fluxo de Caixa'!C13</f>
        <v>79095.9632625023</v>
      </c>
      <c r="D13" s="54" t="n">
        <f aca="false">'Fluxo de Caixa'!D13</f>
        <v>52606.79</v>
      </c>
      <c r="E13" s="54" t="n">
        <f aca="false">'Fluxo de Caixa'!F13</f>
        <v>0</v>
      </c>
      <c r="F13" s="54" t="n">
        <f aca="false">'Fluxo de Caixa'!G13</f>
        <v>34039.2467374977</v>
      </c>
      <c r="G13" s="55" t="n">
        <f aca="false">G12+F13</f>
        <v>-30782.5710778191</v>
      </c>
      <c r="H13" s="58" t="str">
        <f aca="false">IF(G13&gt;=0,"Sim","Não")</f>
        <v>Não</v>
      </c>
    </row>
    <row r="14" customFormat="false" ht="15" hidden="false" customHeight="true" outlineLevel="0" collapsed="false">
      <c r="A14" s="52" t="n">
        <v>9</v>
      </c>
      <c r="B14" s="54" t="n">
        <f aca="false">'Fluxo de Caixa'!B14</f>
        <v>167698</v>
      </c>
      <c r="C14" s="54" t="n">
        <f aca="false">'Fluxo de Caixa'!C14</f>
        <v>75207.3927249109</v>
      </c>
      <c r="D14" s="54" t="n">
        <f aca="false">'Fluxo de Caixa'!D14</f>
        <v>53086.01</v>
      </c>
      <c r="E14" s="54" t="n">
        <f aca="false">'Fluxo de Caixa'!F14</f>
        <v>0</v>
      </c>
      <c r="F14" s="54" t="n">
        <f aca="false">'Fluxo de Caixa'!G14</f>
        <v>39404.5972750891</v>
      </c>
      <c r="G14" s="55" t="n">
        <f aca="false">G13+F14</f>
        <v>8622.02619726996</v>
      </c>
      <c r="H14" s="58" t="str">
        <f aca="false">IF(G14&gt;=0,"Sim","Não")</f>
        <v>Sim</v>
      </c>
    </row>
    <row r="15" customFormat="false" ht="15" hidden="false" customHeight="true" outlineLevel="0" collapsed="false">
      <c r="A15" s="52" t="n">
        <v>10</v>
      </c>
      <c r="B15" s="54" t="n">
        <f aca="false">'Fluxo de Caixa'!B15</f>
        <v>209654</v>
      </c>
      <c r="C15" s="54" t="n">
        <f aca="false">'Fluxo de Caixa'!C15</f>
        <v>95573.5880621969</v>
      </c>
      <c r="D15" s="54" t="n">
        <f aca="false">'Fluxo de Caixa'!D15</f>
        <v>63365.23</v>
      </c>
      <c r="E15" s="54" t="n">
        <f aca="false">'Fluxo de Caixa'!F15</f>
        <v>0</v>
      </c>
      <c r="F15" s="54" t="n">
        <f aca="false">'Fluxo de Caixa'!G15</f>
        <v>50715.1819378031</v>
      </c>
      <c r="G15" s="55" t="n">
        <f aca="false">G14+F15</f>
        <v>59337.2081350731</v>
      </c>
      <c r="H15" s="58" t="str">
        <f aca="false">IF(G15&gt;=0,"Sim","Não")</f>
        <v>Sim</v>
      </c>
    </row>
    <row r="16" customFormat="false" ht="15" hidden="false" customHeight="true" outlineLevel="0" collapsed="false">
      <c r="A16" s="52" t="n">
        <v>11</v>
      </c>
      <c r="B16" s="54" t="n">
        <f aca="false">'Fluxo de Caixa'!B16</f>
        <v>211610</v>
      </c>
      <c r="C16" s="54" t="n">
        <f aca="false">'Fluxo de Caixa'!C16</f>
        <v>91475.0411264375</v>
      </c>
      <c r="D16" s="54" t="n">
        <f aca="false">'Fluxo de Caixa'!D16</f>
        <v>63844.45</v>
      </c>
      <c r="E16" s="54" t="n">
        <f aca="false">'Fluxo de Caixa'!F16</f>
        <v>0</v>
      </c>
      <c r="F16" s="54" t="n">
        <f aca="false">'Fluxo de Caixa'!G16</f>
        <v>56290.5088735625</v>
      </c>
      <c r="G16" s="55" t="n">
        <f aca="false">G15+F16</f>
        <v>115627.717008636</v>
      </c>
      <c r="H16" s="58" t="str">
        <f aca="false">IF(G16&gt;=0,"Sim","Não")</f>
        <v>Sim</v>
      </c>
    </row>
    <row r="17" customFormat="false" ht="15" hidden="false" customHeight="true" outlineLevel="0" collapsed="false">
      <c r="A17" s="52" t="n">
        <v>12</v>
      </c>
      <c r="B17" s="54" t="n">
        <f aca="false">'Fluxo de Caixa'!B17</f>
        <v>255562</v>
      </c>
      <c r="C17" s="54" t="n">
        <f aca="false">'Fluxo de Caixa'!C17</f>
        <v>113561.265368919</v>
      </c>
      <c r="D17" s="54" t="n">
        <f aca="false">'Fluxo de Caixa'!D17</f>
        <v>74612.69</v>
      </c>
      <c r="E17" s="54" t="n">
        <f aca="false">'Fluxo de Caixa'!F17</f>
        <v>0</v>
      </c>
      <c r="F17" s="54" t="n">
        <f aca="false">'Fluxo de Caixa'!G17</f>
        <v>67388.044631081</v>
      </c>
      <c r="G17" s="55" t="n">
        <f aca="false">G16+F17</f>
        <v>183015.761639717</v>
      </c>
      <c r="H17" s="58" t="str">
        <f aca="false">IF(G17&gt;=0,"Sim","Não")</f>
        <v>Sim</v>
      </c>
    </row>
    <row r="18" customFormat="false" ht="15" hidden="false" customHeight="true" outlineLevel="0" collapsed="false">
      <c r="A18" s="52" t="n">
        <v>13</v>
      </c>
      <c r="B18" s="54" t="n">
        <f aca="false">'Fluxo de Caixa'!B18</f>
        <v>305513</v>
      </c>
      <c r="C18" s="54" t="n">
        <f aca="false">'Fluxo de Caixa'!C18</f>
        <v>142470.301206273</v>
      </c>
      <c r="D18" s="54" t="n">
        <f aca="false">'Fluxo de Caixa'!D18</f>
        <v>86850.685</v>
      </c>
      <c r="E18" s="54" t="n">
        <f aca="false">'Fluxo de Caixa'!F18</f>
        <v>0</v>
      </c>
      <c r="F18" s="54" t="n">
        <f aca="false">'Fluxo de Caixa'!G18</f>
        <v>76192.0137937271</v>
      </c>
      <c r="G18" s="55" t="n">
        <f aca="false">G17+F18</f>
        <v>259207.775433444</v>
      </c>
      <c r="H18" s="58" t="str">
        <f aca="false">IF(G18&gt;=0,"Sim","Não")</f>
        <v>Sim</v>
      </c>
    </row>
    <row r="19" customFormat="false" ht="15" hidden="false" customHeight="true" outlineLevel="0" collapsed="false">
      <c r="A19" s="52" t="n">
        <v>14</v>
      </c>
      <c r="B19" s="54" t="n">
        <f aca="false">'Fluxo de Caixa'!B19</f>
        <v>327469</v>
      </c>
      <c r="C19" s="54" t="n">
        <f aca="false">'Fluxo de Caixa'!C19</f>
        <v>150698.239731094</v>
      </c>
      <c r="D19" s="54" t="n">
        <f aca="false">'Fluxo de Caixa'!D19</f>
        <v>92229.905</v>
      </c>
      <c r="E19" s="54" t="n">
        <f aca="false">'Fluxo de Caixa'!F19</f>
        <v>0</v>
      </c>
      <c r="F19" s="54" t="n">
        <f aca="false">'Fluxo de Caixa'!G19</f>
        <v>84540.8552689064</v>
      </c>
      <c r="G19" s="55" t="n">
        <f aca="false">G18+F19</f>
        <v>343748.63070235</v>
      </c>
      <c r="H19" s="58" t="str">
        <f aca="false">IF(G19&gt;=0,"Sim","Não")</f>
        <v>Sim</v>
      </c>
    </row>
    <row r="20" customFormat="false" ht="15" hidden="false" customHeight="true" outlineLevel="0" collapsed="false">
      <c r="A20" s="52" t="n">
        <v>15</v>
      </c>
      <c r="B20" s="54" t="n">
        <f aca="false">'Fluxo de Caixa'!B20</f>
        <v>353417</v>
      </c>
      <c r="C20" s="54" t="n">
        <f aca="false">'Fluxo de Caixa'!C20</f>
        <v>162015.617117926</v>
      </c>
      <c r="D20" s="54" t="n">
        <f aca="false">'Fluxo de Caixa'!D20</f>
        <v>98587.165</v>
      </c>
      <c r="E20" s="54" t="n">
        <f aca="false">'Fluxo de Caixa'!F20</f>
        <v>0</v>
      </c>
      <c r="F20" s="54" t="n">
        <f aca="false">'Fluxo de Caixa'!G20</f>
        <v>92814.2178820742</v>
      </c>
      <c r="G20" s="55" t="n">
        <f aca="false">G19+F20</f>
        <v>436562.848584424</v>
      </c>
      <c r="H20" s="58" t="str">
        <f aca="false">IF(G20&gt;=0,"Sim","Não")</f>
        <v>Sim</v>
      </c>
    </row>
    <row r="21" customFormat="false" ht="15" hidden="false" customHeight="true" outlineLevel="0" collapsed="false">
      <c r="A21" s="52" t="n">
        <v>16</v>
      </c>
      <c r="B21" s="54" t="n">
        <f aca="false">'Fluxo de Caixa'!B21</f>
        <v>381361</v>
      </c>
      <c r="C21" s="54" t="n">
        <f aca="false">'Fluxo de Caixa'!C21</f>
        <v>174086.986076565</v>
      </c>
      <c r="D21" s="54" t="n">
        <f aca="false">'Fluxo de Caixa'!D21</f>
        <v>105433.445</v>
      </c>
      <c r="E21" s="54" t="n">
        <f aca="false">'Fluxo de Caixa'!F21</f>
        <v>0</v>
      </c>
      <c r="F21" s="54" t="n">
        <f aca="false">'Fluxo de Caixa'!G21</f>
        <v>101840.568923435</v>
      </c>
      <c r="G21" s="55" t="n">
        <f aca="false">G20+F21</f>
        <v>538403.41750786</v>
      </c>
      <c r="H21" s="58" t="str">
        <f aca="false">IF(G21&gt;=0,"Sim","Não")</f>
        <v>Sim</v>
      </c>
    </row>
    <row r="22" customFormat="false" ht="15" hidden="false" customHeight="true" outlineLevel="0" collapsed="false">
      <c r="A22" s="52" t="n">
        <v>17</v>
      </c>
      <c r="B22" s="54" t="n">
        <f aca="false">'Fluxo de Caixa'!B22</f>
        <v>409305</v>
      </c>
      <c r="C22" s="54" t="n">
        <f aca="false">'Fluxo de Caixa'!C22</f>
        <v>185984.45646122</v>
      </c>
      <c r="D22" s="54" t="n">
        <f aca="false">'Fluxo de Caixa'!D22</f>
        <v>112279.725</v>
      </c>
      <c r="E22" s="54" t="n">
        <f aca="false">'Fluxo de Caixa'!F22</f>
        <v>0</v>
      </c>
      <c r="F22" s="54" t="n">
        <f aca="false">'Fluxo de Caixa'!G22</f>
        <v>111040.81853878</v>
      </c>
      <c r="G22" s="55" t="n">
        <f aca="false">G21+F22</f>
        <v>649444.236046639</v>
      </c>
      <c r="H22" s="58" t="str">
        <f aca="false">IF(G22&gt;=0,"Sim","Não")</f>
        <v>Sim</v>
      </c>
    </row>
    <row r="23" customFormat="false" ht="15" hidden="false" customHeight="true" outlineLevel="0" collapsed="false">
      <c r="A23" s="52" t="n">
        <v>18</v>
      </c>
      <c r="B23" s="54" t="n">
        <f aca="false">'Fluxo de Caixa'!B23</f>
        <v>439245</v>
      </c>
      <c r="C23" s="54" t="n">
        <f aca="false">'Fluxo de Caixa'!C23</f>
        <v>198485.676106276</v>
      </c>
      <c r="D23" s="54" t="n">
        <f aca="false">'Fluxo de Caixa'!D23</f>
        <v>119615.025</v>
      </c>
      <c r="E23" s="54" t="n">
        <f aca="false">'Fluxo de Caixa'!F23</f>
        <v>0</v>
      </c>
      <c r="F23" s="54" t="n">
        <f aca="false">'Fluxo de Caixa'!G23</f>
        <v>121144.298893724</v>
      </c>
      <c r="G23" s="55" t="n">
        <f aca="false">G22+F23</f>
        <v>770588.534940363</v>
      </c>
      <c r="H23" s="58" t="str">
        <f aca="false">IF(G23&gt;=0,"Sim","Não")</f>
        <v>Sim</v>
      </c>
    </row>
    <row r="24" customFormat="false" ht="15" hidden="false" customHeight="true" outlineLevel="0" collapsed="false">
      <c r="A24" s="52" t="n">
        <v>19</v>
      </c>
      <c r="B24" s="54" t="n">
        <f aca="false">'Fluxo de Caixa'!B24</f>
        <v>477186</v>
      </c>
      <c r="C24" s="54" t="n">
        <f aca="false">'Fluxo de Caixa'!C24</f>
        <v>217308.627948541</v>
      </c>
      <c r="D24" s="54" t="n">
        <f aca="false">'Fluxo de Caixa'!D24</f>
        <v>128910.57</v>
      </c>
      <c r="E24" s="54" t="n">
        <f aca="false">'Fluxo de Caixa'!F24</f>
        <v>0</v>
      </c>
      <c r="F24" s="54" t="n">
        <f aca="false">'Fluxo de Caixa'!G24</f>
        <v>130966.802051459</v>
      </c>
      <c r="G24" s="55" t="n">
        <f aca="false">G23+F24</f>
        <v>901555.336991822</v>
      </c>
      <c r="H24" s="58" t="str">
        <f aca="false">IF(G24&gt;=0,"Sim","Não")</f>
        <v>Sim</v>
      </c>
    </row>
    <row r="25" customFormat="false" ht="15" hidden="false" customHeight="true" outlineLevel="0" collapsed="false">
      <c r="A25" s="52" t="n">
        <v>20</v>
      </c>
      <c r="B25" s="54" t="n">
        <f aca="false">'Fluxo de Caixa'!B25</f>
        <v>509122</v>
      </c>
      <c r="C25" s="54" t="n">
        <f aca="false">'Fluxo de Caixa'!C25</f>
        <v>228404.730761615</v>
      </c>
      <c r="D25" s="54" t="n">
        <f aca="false">'Fluxo de Caixa'!D25</f>
        <v>136734.89</v>
      </c>
      <c r="E25" s="54" t="n">
        <f aca="false">'Fluxo de Caixa'!F25</f>
        <v>0</v>
      </c>
      <c r="F25" s="54" t="n">
        <f aca="false">'Fluxo de Caixa'!G25</f>
        <v>143982.379238385</v>
      </c>
      <c r="G25" s="55" t="n">
        <f aca="false">G24+F25</f>
        <v>1045537.71623021</v>
      </c>
      <c r="H25" s="58" t="str">
        <f aca="false">IF(G25&gt;=0,"Sim","Não")</f>
        <v>Sim</v>
      </c>
    </row>
    <row r="26" customFormat="false" ht="15" hidden="false" customHeight="true" outlineLevel="0" collapsed="false">
      <c r="A26" s="52" t="n">
        <v>21</v>
      </c>
      <c r="B26" s="54" t="n">
        <f aca="false">'Fluxo de Caixa'!B26</f>
        <v>541058</v>
      </c>
      <c r="C26" s="54" t="n">
        <f aca="false">'Fluxo de Caixa'!C26</f>
        <v>247257.538946274</v>
      </c>
      <c r="D26" s="54" t="n">
        <f aca="false">'Fluxo de Caixa'!D26</f>
        <v>144559.21</v>
      </c>
      <c r="E26" s="54" t="n">
        <f aca="false">'Fluxo de Caixa'!F26</f>
        <v>0</v>
      </c>
      <c r="F26" s="54" t="n">
        <f aca="false">'Fluxo de Caixa'!G26</f>
        <v>149241.251053726</v>
      </c>
      <c r="G26" s="55" t="n">
        <f aca="false">G25+F26</f>
        <v>1194778.96728393</v>
      </c>
      <c r="H26" s="58" t="str">
        <f aca="false">IF(G26&gt;=0,"Sim","Não")</f>
        <v>Sim</v>
      </c>
    </row>
    <row r="27" customFormat="false" ht="15" hidden="false" customHeight="true" outlineLevel="0" collapsed="false">
      <c r="A27" s="52" t="n">
        <v>22</v>
      </c>
      <c r="B27" s="54" t="n">
        <f aca="false">'Fluxo de Caixa'!B27</f>
        <v>574990</v>
      </c>
      <c r="C27" s="54" t="n">
        <f aca="false">'Fluxo de Caixa'!C27</f>
        <v>267014.380387816</v>
      </c>
      <c r="D27" s="54" t="n">
        <f aca="false">'Fluxo de Caixa'!D27</f>
        <v>152872.55</v>
      </c>
      <c r="E27" s="54" t="n">
        <f aca="false">'Fluxo de Caixa'!F27</f>
        <v>0</v>
      </c>
      <c r="F27" s="54" t="n">
        <f aca="false">'Fluxo de Caixa'!G27</f>
        <v>155103.069612184</v>
      </c>
      <c r="G27" s="55" t="n">
        <f aca="false">G26+F27</f>
        <v>1349882.03689612</v>
      </c>
      <c r="H27" s="58" t="str">
        <f aca="false">IF(G27&gt;=0,"Sim","Não")</f>
        <v>Sim</v>
      </c>
    </row>
    <row r="28" customFormat="false" ht="15" hidden="false" customHeight="true" outlineLevel="0" collapsed="false">
      <c r="A28" s="52" t="n">
        <v>23</v>
      </c>
      <c r="B28" s="54" t="n">
        <f aca="false">'Fluxo de Caixa'!B28</f>
        <v>580921</v>
      </c>
      <c r="C28" s="54" t="n">
        <f aca="false">'Fluxo de Caixa'!C28</f>
        <v>265812.371528508</v>
      </c>
      <c r="D28" s="54" t="n">
        <f aca="false">'Fluxo de Caixa'!D28</f>
        <v>154325.645</v>
      </c>
      <c r="E28" s="54" t="n">
        <f aca="false">'Fluxo de Caixa'!F28</f>
        <v>0</v>
      </c>
      <c r="F28" s="54" t="n">
        <f aca="false">'Fluxo de Caixa'!G28</f>
        <v>160782.983471492</v>
      </c>
      <c r="G28" s="55" t="n">
        <f aca="false">G27+F28</f>
        <v>1510665.02036761</v>
      </c>
      <c r="H28" s="58" t="str">
        <f aca="false">IF(G28&gt;=0,"Sim","Não")</f>
        <v>Sim</v>
      </c>
    </row>
    <row r="29" customFormat="false" ht="15" hidden="false" customHeight="true" outlineLevel="0" collapsed="false">
      <c r="A29" s="52" t="n">
        <v>24</v>
      </c>
      <c r="B29" s="54" t="n">
        <f aca="false">'Fluxo de Caixa'!B29</f>
        <v>648842</v>
      </c>
      <c r="C29" s="54" t="n">
        <f aca="false">'Fluxo de Caixa'!C29</f>
        <v>270968.4826</v>
      </c>
      <c r="D29" s="54" t="n">
        <f aca="false">'Fluxo de Caixa'!D29</f>
        <v>170966.29</v>
      </c>
      <c r="E29" s="54" t="n">
        <f aca="false">'Fluxo de Caixa'!F29</f>
        <v>0</v>
      </c>
      <c r="F29" s="54" t="n">
        <f aca="false">'Fluxo de Caixa'!G29</f>
        <v>206907.2274</v>
      </c>
      <c r="G29" s="55" t="n">
        <f aca="false">G28+F29</f>
        <v>1717572.24776761</v>
      </c>
      <c r="H29" s="58" t="str">
        <f aca="false">IF(G29&gt;=0,"Sim","Não")</f>
        <v>Sim</v>
      </c>
    </row>
    <row r="31" customFormat="false" ht="15" hidden="false" customHeight="true" outlineLevel="0" collapsed="false">
      <c r="A31" s="4" t="s">
        <v>305</v>
      </c>
      <c r="B31" s="50"/>
      <c r="C31" s="50"/>
      <c r="D31" s="50"/>
      <c r="E31" s="50"/>
      <c r="F31" s="50"/>
      <c r="G31" s="50"/>
    </row>
    <row r="32" customFormat="false" ht="15" hidden="false" customHeight="true" outlineLevel="0" collapsed="false">
      <c r="A32" s="3" t="s">
        <v>306</v>
      </c>
      <c r="F32" s="59" t="n">
        <f aca="false">MAX(0,-MIN(G5:G29))</f>
        <v>118526.3</v>
      </c>
      <c r="G32" s="60" t="s">
        <v>307</v>
      </c>
    </row>
    <row r="33" customFormat="false" ht="15" hidden="false" customHeight="true" outlineLevel="0" collapsed="false">
      <c r="A33" s="3" t="s">
        <v>308</v>
      </c>
      <c r="F33" s="61" t="n">
        <f aca="false">IFERROR(INDEX(A5:A29,MATCH("Sim",H5:H29,0)),"Não recupera")</f>
        <v>9</v>
      </c>
      <c r="G33" s="60" t="s">
        <v>309</v>
      </c>
    </row>
  </sheetData>
  <sheetProtection sheet="true"/>
  <conditionalFormatting sqref="G5:G29">
    <cfRule type="expression" priority="2" aboveAverage="0" equalAverage="0" bottom="0" percent="0" rank="0" text="" dxfId="0">
      <formula>G5&lt;0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0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49" t="s">
        <v>310</v>
      </c>
      <c r="B1" s="50"/>
      <c r="C1" s="50"/>
      <c r="D1" s="50"/>
      <c r="E1" s="50"/>
      <c r="F1" s="50"/>
      <c r="G1" s="50"/>
    </row>
    <row r="2" customFormat="false" ht="15" hidden="false" customHeight="true" outlineLevel="0" collapsed="false">
      <c r="A2" s="51" t="s">
        <v>311</v>
      </c>
    </row>
    <row r="4" customFormat="false" ht="15" hidden="false" customHeight="true" outlineLevel="0" collapsed="false">
      <c r="A4" s="4" t="s">
        <v>312</v>
      </c>
      <c r="B4" s="50"/>
      <c r="C4" s="50"/>
      <c r="D4" s="50"/>
      <c r="E4" s="50"/>
      <c r="F4" s="50"/>
      <c r="G4" s="50"/>
    </row>
    <row r="5" customFormat="false" ht="15" hidden="false" customHeight="true" outlineLevel="0" collapsed="false">
      <c r="A5" s="3" t="s">
        <v>313</v>
      </c>
      <c r="B5" s="62" t="n">
        <f aca="false">'Premissas Precept'!B64</f>
        <v>0.24</v>
      </c>
      <c r="C5" s="60" t="s">
        <v>314</v>
      </c>
    </row>
    <row r="6" customFormat="false" ht="15" hidden="false" customHeight="true" outlineLevel="0" collapsed="false">
      <c r="A6" s="3" t="s">
        <v>315</v>
      </c>
      <c r="B6" s="63" t="s">
        <v>316</v>
      </c>
      <c r="C6" s="60" t="s">
        <v>317</v>
      </c>
    </row>
    <row r="7" customFormat="false" ht="15" hidden="false" customHeight="true" outlineLevel="0" collapsed="false">
      <c r="A7" s="3" t="s">
        <v>318</v>
      </c>
      <c r="B7" s="64" t="n">
        <f aca="false">IF(B6="Mensal",(1+B5)^(1/12)-1,B5)</f>
        <v>0.0180875824835107</v>
      </c>
      <c r="C7" s="60" t="s">
        <v>319</v>
      </c>
    </row>
    <row r="9" customFormat="false" ht="15" hidden="false" customHeight="true" outlineLevel="0" collapsed="false">
      <c r="A9" s="4" t="s">
        <v>320</v>
      </c>
      <c r="B9" s="50"/>
      <c r="C9" s="50"/>
      <c r="D9" s="50"/>
      <c r="E9" s="50"/>
      <c r="F9" s="50"/>
      <c r="G9" s="50"/>
    </row>
    <row r="10" customFormat="false" ht="31.5" hidden="false" customHeight="true" outlineLevel="0" collapsed="false">
      <c r="A10" s="18" t="s">
        <v>298</v>
      </c>
      <c r="B10" s="18" t="s">
        <v>321</v>
      </c>
      <c r="C10" s="18" t="s">
        <v>322</v>
      </c>
      <c r="D10" s="18" t="s">
        <v>323</v>
      </c>
      <c r="E10" s="18" t="s">
        <v>324</v>
      </c>
      <c r="F10" s="18" t="s">
        <v>325</v>
      </c>
    </row>
    <row r="11" customFormat="false" ht="15" hidden="false" customHeight="true" outlineLevel="0" collapsed="false">
      <c r="A11" s="52" t="n">
        <v>0</v>
      </c>
      <c r="B11" s="54" t="n">
        <f aca="false">'Fluxo de Caixa'!G5</f>
        <v>-102000</v>
      </c>
      <c r="C11" s="65" t="n">
        <f aca="false">1/(1+$B$7)^A11</f>
        <v>1</v>
      </c>
      <c r="D11" s="54" t="n">
        <f aca="false">B11*C11</f>
        <v>-102000</v>
      </c>
      <c r="E11" s="55" t="n">
        <f aca="false">D11</f>
        <v>-102000</v>
      </c>
      <c r="F11" s="58" t="str">
        <f aca="false">IF(E11&gt;=0,"Sim","Não")</f>
        <v>Não</v>
      </c>
    </row>
    <row r="12" customFormat="false" ht="15" hidden="false" customHeight="true" outlineLevel="0" collapsed="false">
      <c r="A12" s="52" t="n">
        <v>1</v>
      </c>
      <c r="B12" s="54" t="n">
        <f aca="false">'Fluxo de Caixa'!G6</f>
        <v>-10779.9</v>
      </c>
      <c r="C12" s="65" t="n">
        <f aca="false">1/(1+$B$7)^A12</f>
        <v>0.982233765744016</v>
      </c>
      <c r="D12" s="54" t="n">
        <f aca="false">B12*C12</f>
        <v>-10588.3817713439</v>
      </c>
      <c r="E12" s="55" t="n">
        <f aca="false">E11+D12</f>
        <v>-112588.381771344</v>
      </c>
      <c r="F12" s="58" t="str">
        <f aca="false">IF(E12&gt;=0,"Sim","Não")</f>
        <v>Não</v>
      </c>
    </row>
    <row r="13" customFormat="false" ht="15" hidden="false" customHeight="true" outlineLevel="0" collapsed="false">
      <c r="A13" s="52" t="n">
        <v>2</v>
      </c>
      <c r="B13" s="54" t="n">
        <f aca="false">'Fluxo de Caixa'!G7</f>
        <v>-5746.4</v>
      </c>
      <c r="C13" s="65" t="n">
        <f aca="false">1/(1+$B$7)^A13</f>
        <v>0.96478317056767</v>
      </c>
      <c r="D13" s="54" t="n">
        <f aca="false">B13*C13</f>
        <v>-5544.03001135006</v>
      </c>
      <c r="E13" s="55" t="n">
        <f aca="false">E12+D13</f>
        <v>-118132.411782694</v>
      </c>
      <c r="F13" s="58" t="str">
        <f aca="false">IF(E13&gt;=0,"Sim","Não")</f>
        <v>Não</v>
      </c>
    </row>
    <row r="14" customFormat="false" ht="15" hidden="false" customHeight="true" outlineLevel="0" collapsed="false">
      <c r="A14" s="52" t="n">
        <v>3</v>
      </c>
      <c r="B14" s="54" t="n">
        <f aca="false">'Fluxo de Caixa'!G8</f>
        <v>2100.5</v>
      </c>
      <c r="C14" s="65" t="n">
        <f aca="false">1/(1+$B$7)^A14</f>
        <v>0.947642606753134</v>
      </c>
      <c r="D14" s="54" t="n">
        <f aca="false">B14*C14</f>
        <v>1990.52329548496</v>
      </c>
      <c r="E14" s="55" t="n">
        <f aca="false">E13+D14</f>
        <v>-116141.888487209</v>
      </c>
      <c r="F14" s="58" t="str">
        <f aca="false">IF(E14&gt;=0,"Sim","Não")</f>
        <v>Não</v>
      </c>
    </row>
    <row r="15" customFormat="false" ht="15" hidden="false" customHeight="true" outlineLevel="0" collapsed="false">
      <c r="A15" s="52" t="n">
        <v>4</v>
      </c>
      <c r="B15" s="54" t="n">
        <f aca="false">'Fluxo de Caixa'!G9</f>
        <v>791.431217820256</v>
      </c>
      <c r="C15" s="65" t="n">
        <f aca="false">1/(1+$B$7)^A15</f>
        <v>0.930806566210606</v>
      </c>
      <c r="D15" s="54" t="n">
        <f aca="false">B15*C15</f>
        <v>736.669374251151</v>
      </c>
      <c r="E15" s="55" t="n">
        <f aca="false">E14+D15</f>
        <v>-115405.219112958</v>
      </c>
      <c r="F15" s="58" t="str">
        <f aca="false">IF(E15&gt;=0,"Sim","Não")</f>
        <v>Não</v>
      </c>
    </row>
    <row r="16" customFormat="false" ht="15" hidden="false" customHeight="true" outlineLevel="0" collapsed="false">
      <c r="A16" s="52" t="n">
        <v>5</v>
      </c>
      <c r="B16" s="54" t="n">
        <f aca="false">'Fluxo de Caixa'!G10</f>
        <v>8277.75892633678</v>
      </c>
      <c r="C16" s="65" t="n">
        <f aca="false">1/(1+$B$7)^A16</f>
        <v>0.9142696387083</v>
      </c>
      <c r="D16" s="54" t="n">
        <f aca="false">B16*C16</f>
        <v>7568.10366289633</v>
      </c>
      <c r="E16" s="55" t="n">
        <f aca="false">E15+D16</f>
        <v>-107837.115450062</v>
      </c>
      <c r="F16" s="58" t="str">
        <f aca="false">IF(E16&gt;=0,"Sim","Não")</f>
        <v>Não</v>
      </c>
    </row>
    <row r="17" customFormat="false" ht="15" hidden="false" customHeight="true" outlineLevel="0" collapsed="false">
      <c r="A17" s="52" t="n">
        <v>6</v>
      </c>
      <c r="B17" s="54" t="n">
        <f aca="false">'Fluxo de Caixa'!G11</f>
        <v>19112.0333918085</v>
      </c>
      <c r="C17" s="65" t="n">
        <f aca="false">1/(1+$B$7)^A17</f>
        <v>0.898026510133874</v>
      </c>
      <c r="D17" s="54" t="n">
        <f aca="false">B17*C17</f>
        <v>17163.1126484079</v>
      </c>
      <c r="E17" s="55" t="n">
        <f aca="false">E16+D17</f>
        <v>-90674.0028016537</v>
      </c>
      <c r="F17" s="58" t="str">
        <f aca="false">IF(E17&gt;=0,"Sim","Não")</f>
        <v>Não</v>
      </c>
    </row>
    <row r="18" customFormat="false" ht="15" hidden="false" customHeight="true" outlineLevel="0" collapsed="false">
      <c r="A18" s="52" t="n">
        <v>7</v>
      </c>
      <c r="B18" s="54" t="n">
        <f aca="false">'Fluxo de Caixa'!G12</f>
        <v>23422.7586487176</v>
      </c>
      <c r="C18" s="65" t="n">
        <f aca="false">1/(1+$B$7)^A18</f>
        <v>0.882071960786752</v>
      </c>
      <c r="D18" s="54" t="n">
        <f aca="false">B18*C18</f>
        <v>20660.5586483092</v>
      </c>
      <c r="E18" s="55" t="n">
        <f aca="false">E17+D18</f>
        <v>-70013.4441533445</v>
      </c>
      <c r="F18" s="58" t="str">
        <f aca="false">IF(E18&gt;=0,"Sim","Não")</f>
        <v>Não</v>
      </c>
    </row>
    <row r="19" customFormat="false" ht="15" hidden="false" customHeight="true" outlineLevel="0" collapsed="false">
      <c r="A19" s="52" t="n">
        <v>8</v>
      </c>
      <c r="B19" s="54" t="n">
        <f aca="false">'Fluxo de Caixa'!G13</f>
        <v>34039.2467374977</v>
      </c>
      <c r="C19" s="65" t="n">
        <f aca="false">1/(1+$B$7)^A19</f>
        <v>0.866400863700779</v>
      </c>
      <c r="D19" s="54" t="n">
        <f aca="false">B19*C19</f>
        <v>29491.6327730919</v>
      </c>
      <c r="E19" s="55" t="n">
        <f aca="false">E18+D19</f>
        <v>-40521.8113802525</v>
      </c>
      <c r="F19" s="58" t="str">
        <f aca="false">IF(E19&gt;=0,"Sim","Não")</f>
        <v>Não</v>
      </c>
    </row>
    <row r="20" customFormat="false" ht="15" hidden="false" customHeight="true" outlineLevel="0" collapsed="false">
      <c r="A20" s="52" t="n">
        <v>9</v>
      </c>
      <c r="B20" s="54" t="n">
        <f aca="false">'Fluxo de Caixa'!G14</f>
        <v>39404.5972750891</v>
      </c>
      <c r="C20" s="65" t="n">
        <f aca="false">1/(1+$B$7)^A20</f>
        <v>0.851008182996684</v>
      </c>
      <c r="D20" s="54" t="n">
        <f aca="false">B20*C20</f>
        <v>33533.6347287896</v>
      </c>
      <c r="E20" s="55" t="n">
        <f aca="false">E19+D20</f>
        <v>-6988.17665146288</v>
      </c>
      <c r="F20" s="58" t="str">
        <f aca="false">IF(E20&gt;=0,"Sim","Não")</f>
        <v>Não</v>
      </c>
    </row>
    <row r="21" customFormat="false" ht="15" hidden="false" customHeight="true" outlineLevel="0" collapsed="false">
      <c r="A21" s="52" t="n">
        <v>10</v>
      </c>
      <c r="B21" s="54" t="n">
        <f aca="false">'Fluxo de Caixa'!G15</f>
        <v>50715.1819378031</v>
      </c>
      <c r="C21" s="65" t="n">
        <f aca="false">1/(1+$B$7)^A21</f>
        <v>0.835888972263805</v>
      </c>
      <c r="D21" s="54" t="n">
        <f aca="false">B21*C21</f>
        <v>42392.2613081622</v>
      </c>
      <c r="E21" s="55" t="n">
        <f aca="false">E20+D21</f>
        <v>35404.0846566993</v>
      </c>
      <c r="F21" s="58" t="str">
        <f aca="false">IF(E21&gt;=0,"Sim","Não")</f>
        <v>Sim</v>
      </c>
    </row>
    <row r="22" customFormat="false" ht="15" hidden="false" customHeight="true" outlineLevel="0" collapsed="false">
      <c r="A22" s="52" t="n">
        <v>11</v>
      </c>
      <c r="B22" s="54" t="n">
        <f aca="false">'Fluxo de Caixa'!G16</f>
        <v>56290.5088735625</v>
      </c>
      <c r="C22" s="65" t="n">
        <f aca="false">1/(1+$B$7)^A22</f>
        <v>0.821038372970573</v>
      </c>
      <c r="D22" s="54" t="n">
        <f aca="false">B22*C22</f>
        <v>46216.6678192354</v>
      </c>
      <c r="E22" s="55" t="n">
        <f aca="false">E21+D22</f>
        <v>81620.7524759346</v>
      </c>
      <c r="F22" s="58" t="str">
        <f aca="false">IF(E22&gt;=0,"Sim","Não")</f>
        <v>Sim</v>
      </c>
    </row>
    <row r="23" customFormat="false" ht="15" hidden="false" customHeight="true" outlineLevel="0" collapsed="false">
      <c r="A23" s="52" t="n">
        <v>12</v>
      </c>
      <c r="B23" s="54" t="n">
        <f aca="false">'Fluxo de Caixa'!G17</f>
        <v>67388.044631081</v>
      </c>
      <c r="C23" s="65" t="n">
        <f aca="false">1/(1+$B$7)^A23</f>
        <v>0.806451612903225</v>
      </c>
      <c r="D23" s="54" t="n">
        <f aca="false">B23*C23</f>
        <v>54345.1972831298</v>
      </c>
      <c r="E23" s="55" t="n">
        <f aca="false">E22+D23</f>
        <v>135965.949759064</v>
      </c>
      <c r="F23" s="58" t="str">
        <f aca="false">IF(E23&gt;=0,"Sim","Não")</f>
        <v>Sim</v>
      </c>
    </row>
    <row r="24" customFormat="false" ht="15" hidden="false" customHeight="true" outlineLevel="0" collapsed="false">
      <c r="A24" s="52" t="n">
        <v>13</v>
      </c>
      <c r="B24" s="54" t="n">
        <f aca="false">'Fluxo de Caixa'!G18</f>
        <v>76192.0137937271</v>
      </c>
      <c r="C24" s="65" t="n">
        <f aca="false">1/(1+$B$7)^A24</f>
        <v>0.79212400463227</v>
      </c>
      <c r="D24" s="54" t="n">
        <f aca="false">B24*C24</f>
        <v>60353.5230872842</v>
      </c>
      <c r="E24" s="55" t="n">
        <f aca="false">E23+D24</f>
        <v>196319.472846349</v>
      </c>
      <c r="F24" s="58" t="str">
        <f aca="false">IF(E24&gt;=0,"Sim","Não")</f>
        <v>Sim</v>
      </c>
    </row>
    <row r="25" customFormat="false" ht="15" hidden="false" customHeight="true" outlineLevel="0" collapsed="false">
      <c r="A25" s="52" t="n">
        <v>14</v>
      </c>
      <c r="B25" s="54" t="n">
        <f aca="false">'Fluxo de Caixa'!G19</f>
        <v>84540.8552689064</v>
      </c>
      <c r="C25" s="65" t="n">
        <f aca="false">1/(1+$B$7)^A25</f>
        <v>0.778050944006185</v>
      </c>
      <c r="D25" s="54" t="n">
        <f aca="false">B25*C25</f>
        <v>65777.0922490629</v>
      </c>
      <c r="E25" s="55" t="n">
        <f aca="false">E24+D25</f>
        <v>262096.565095412</v>
      </c>
      <c r="F25" s="58" t="str">
        <f aca="false">IF(E25&gt;=0,"Sim","Não")</f>
        <v>Sim</v>
      </c>
    </row>
    <row r="26" customFormat="false" ht="15" hidden="false" customHeight="true" outlineLevel="0" collapsed="false">
      <c r="A26" s="52" t="n">
        <v>15</v>
      </c>
      <c r="B26" s="54" t="n">
        <f aca="false">'Fluxo de Caixa'!G20</f>
        <v>92814.2178820742</v>
      </c>
      <c r="C26" s="65" t="n">
        <f aca="false">1/(1+$B$7)^A26</f>
        <v>0.764227908671882</v>
      </c>
      <c r="D26" s="54" t="n">
        <f aca="false">B26*C26</f>
        <v>70931.2156270339</v>
      </c>
      <c r="E26" s="55" t="n">
        <f aca="false">E25+D26</f>
        <v>333027.780722445</v>
      </c>
      <c r="F26" s="58" t="str">
        <f aca="false">IF(E26&gt;=0,"Sim","Não")</f>
        <v>Sim</v>
      </c>
    </row>
    <row r="27" customFormat="false" ht="15" hidden="false" customHeight="true" outlineLevel="0" collapsed="false">
      <c r="A27" s="52" t="n">
        <v>16</v>
      </c>
      <c r="B27" s="54" t="n">
        <f aca="false">'Fluxo de Caixa'!G21</f>
        <v>101840.568923435</v>
      </c>
      <c r="C27" s="65" t="n">
        <f aca="false">1/(1+$B$7)^A27</f>
        <v>0.750650456621456</v>
      </c>
      <c r="D27" s="54" t="n">
        <f aca="false">B27*C27</f>
        <v>76446.6695649656</v>
      </c>
      <c r="E27" s="55" t="n">
        <f aca="false">E26+D27</f>
        <v>409474.450287411</v>
      </c>
      <c r="F27" s="58" t="str">
        <f aca="false">IF(E27&gt;=0,"Sim","Não")</f>
        <v>Sim</v>
      </c>
    </row>
    <row r="28" customFormat="false" ht="15" hidden="false" customHeight="true" outlineLevel="0" collapsed="false">
      <c r="A28" s="52" t="n">
        <v>17</v>
      </c>
      <c r="B28" s="54" t="n">
        <f aca="false">'Fluxo de Caixa'!G22</f>
        <v>111040.81853878</v>
      </c>
      <c r="C28" s="65" t="n">
        <f aca="false">1/(1+$B$7)^A28</f>
        <v>0.737314224764758</v>
      </c>
      <c r="D28" s="54" t="n">
        <f aca="false">B28*C28</f>
        <v>81871.9750381644</v>
      </c>
      <c r="E28" s="55" t="n">
        <f aca="false">E27+D28</f>
        <v>491346.425325575</v>
      </c>
      <c r="F28" s="58" t="str">
        <f aca="false">IF(E28&gt;=0,"Sim","Não")</f>
        <v>Sim</v>
      </c>
    </row>
    <row r="29" customFormat="false" ht="15" hidden="false" customHeight="true" outlineLevel="0" collapsed="false">
      <c r="A29" s="52" t="n">
        <v>18</v>
      </c>
      <c r="B29" s="54" t="n">
        <f aca="false">'Fluxo de Caixa'!G23</f>
        <v>121144.298893724</v>
      </c>
      <c r="C29" s="65" t="n">
        <f aca="false">1/(1+$B$7)^A29</f>
        <v>0.724214927527318</v>
      </c>
      <c r="D29" s="54" t="n">
        <f aca="false">B29*C29</f>
        <v>87734.5096436659</v>
      </c>
      <c r="E29" s="55" t="n">
        <f aca="false">E28+D29</f>
        <v>579080.934969241</v>
      </c>
      <c r="F29" s="58" t="str">
        <f aca="false">IF(E29&gt;=0,"Sim","Não")</f>
        <v>Sim</v>
      </c>
    </row>
    <row r="30" customFormat="false" ht="15" hidden="false" customHeight="true" outlineLevel="0" collapsed="false">
      <c r="A30" s="52" t="n">
        <v>19</v>
      </c>
      <c r="B30" s="54" t="n">
        <f aca="false">'Fluxo de Caixa'!G24</f>
        <v>130966.802051459</v>
      </c>
      <c r="C30" s="65" t="n">
        <f aca="false">1/(1+$B$7)^A30</f>
        <v>0.711348355473187</v>
      </c>
      <c r="D30" s="54" t="n">
        <f aca="false">B30*C30</f>
        <v>93163.0192608875</v>
      </c>
      <c r="E30" s="55" t="n">
        <f aca="false">E29+D30</f>
        <v>672243.954230129</v>
      </c>
      <c r="F30" s="58" t="str">
        <f aca="false">IF(E30&gt;=0,"Sim","Não")</f>
        <v>Sim</v>
      </c>
    </row>
    <row r="31" customFormat="false" ht="15" hidden="false" customHeight="true" outlineLevel="0" collapsed="false">
      <c r="A31" s="52" t="n">
        <v>20</v>
      </c>
      <c r="B31" s="54" t="n">
        <f aca="false">'Fluxo de Caixa'!G25</f>
        <v>143982.379238385</v>
      </c>
      <c r="C31" s="65" t="n">
        <f aca="false">1/(1+$B$7)^A31</f>
        <v>0.698710373952241</v>
      </c>
      <c r="D31" s="54" t="n">
        <f aca="false">B31*C31</f>
        <v>100601.982040185</v>
      </c>
      <c r="E31" s="55" t="n">
        <f aca="false">E30+D31</f>
        <v>772845.936270314</v>
      </c>
      <c r="F31" s="58" t="str">
        <f aca="false">IF(E31&gt;=0,"Sim","Não")</f>
        <v>Sim</v>
      </c>
    </row>
    <row r="32" customFormat="false" ht="15" hidden="false" customHeight="true" outlineLevel="0" collapsed="false">
      <c r="A32" s="52" t="n">
        <v>21</v>
      </c>
      <c r="B32" s="54" t="n">
        <f aca="false">'Fluxo de Caixa'!G26</f>
        <v>149241.251053726</v>
      </c>
      <c r="C32" s="65" t="n">
        <f aca="false">1/(1+$B$7)^A32</f>
        <v>0.686296921771519</v>
      </c>
      <c r="D32" s="54" t="n">
        <f aca="false">B32*C32</f>
        <v>102423.811199503</v>
      </c>
      <c r="E32" s="55" t="n">
        <f aca="false">E31+D32</f>
        <v>875269.747469817</v>
      </c>
      <c r="F32" s="58" t="str">
        <f aca="false">IF(E32&gt;=0,"Sim","Não")</f>
        <v>Sim</v>
      </c>
    </row>
    <row r="33" customFormat="false" ht="15" hidden="false" customHeight="true" outlineLevel="0" collapsed="false">
      <c r="A33" s="52" t="n">
        <v>22</v>
      </c>
      <c r="B33" s="54" t="n">
        <f aca="false">'Fluxo de Caixa'!G27</f>
        <v>155103.069612184</v>
      </c>
      <c r="C33" s="65" t="n">
        <f aca="false">1/(1+$B$7)^A33</f>
        <v>0.674104009890165</v>
      </c>
      <c r="D33" s="54" t="n">
        <f aca="false">B33*C33</f>
        <v>104555.601171847</v>
      </c>
      <c r="E33" s="55" t="n">
        <f aca="false">E32+D33</f>
        <v>979825.348641664</v>
      </c>
      <c r="F33" s="58" t="str">
        <f aca="false">IF(E33&gt;=0,"Sim","Não")</f>
        <v>Sim</v>
      </c>
    </row>
    <row r="34" customFormat="false" ht="15" hidden="false" customHeight="true" outlineLevel="0" collapsed="false">
      <c r="A34" s="52" t="n">
        <v>23</v>
      </c>
      <c r="B34" s="54" t="n">
        <f aca="false">'Fluxo de Caixa'!G28</f>
        <v>160782.983471492</v>
      </c>
      <c r="C34" s="65" t="n">
        <f aca="false">1/(1+$B$7)^A34</f>
        <v>0.662127720137558</v>
      </c>
      <c r="D34" s="54" t="n">
        <f aca="false">B34*C34</f>
        <v>106458.870282894</v>
      </c>
      <c r="E34" s="55" t="n">
        <f aca="false">E33+D34</f>
        <v>1086284.21892456</v>
      </c>
      <c r="F34" s="58" t="str">
        <f aca="false">IF(E34&gt;=0,"Sim","Não")</f>
        <v>Sim</v>
      </c>
    </row>
    <row r="35" customFormat="false" ht="15" hidden="false" customHeight="true" outlineLevel="0" collapsed="false">
      <c r="A35" s="52" t="n">
        <v>24</v>
      </c>
      <c r="B35" s="54" t="n">
        <f aca="false">'Fluxo de Caixa'!G29</f>
        <v>206907.2274</v>
      </c>
      <c r="C35" s="65" t="n">
        <f aca="false">1/(1+$B$7)^A35</f>
        <v>0.650364203954214</v>
      </c>
      <c r="D35" s="54" t="n">
        <f aca="false">B35*C35</f>
        <v>134565.054240374</v>
      </c>
      <c r="E35" s="55" t="n">
        <f aca="false">E34+D35</f>
        <v>1220849.27316493</v>
      </c>
      <c r="F35" s="58" t="str">
        <f aca="false">IF(E35&gt;=0,"Sim","Não")</f>
        <v>Sim</v>
      </c>
    </row>
    <row r="37" customFormat="false" ht="15" hidden="false" customHeight="true" outlineLevel="0" collapsed="false">
      <c r="A37" s="4" t="s">
        <v>326</v>
      </c>
      <c r="B37" s="50"/>
      <c r="C37" s="50"/>
      <c r="D37" s="50"/>
      <c r="E37" s="50"/>
      <c r="F37" s="50"/>
      <c r="G37" s="50"/>
    </row>
    <row r="38" customFormat="false" ht="15" hidden="false" customHeight="true" outlineLevel="0" collapsed="false">
      <c r="A38" s="3" t="s">
        <v>327</v>
      </c>
      <c r="B38" s="66" t="n">
        <f aca="false">SUM(D11:D35)</f>
        <v>1220849.27316493</v>
      </c>
      <c r="C38" s="67" t="str">
        <f aca="false">IF(B38&gt;0,"VIÁVEL: o projeto gera mais do que a taxa exigida",IF(B38&lt;0,"INVIÁVEL: o projeto rende menos que a taxa exigida","EQUILÍBRIO: rende exatamente a taxa exigida"))</f>
        <v>VIÁVEL: o projeto gera mais do que a taxa exigida</v>
      </c>
    </row>
    <row r="39" customFormat="false" ht="15" hidden="false" customHeight="true" outlineLevel="0" collapsed="false">
      <c r="A39" s="3" t="s">
        <v>328</v>
      </c>
      <c r="B39" s="68" t="n">
        <f aca="false">IFERROR(IRR(B11:B35),"Não calculável")</f>
        <v>0.1962598125939</v>
      </c>
      <c r="C39" s="67" t="str">
        <f aca="false">IF(ISNUMBER(B39),IF(B39&gt;B7,"VIÁVEL: TIR maior que a taxa de desconto","INVIÁVEL: TIR menor ou igual à taxa de desconto"),"Sem TIR: o fluxo precisa ter valores negativos E positivos")</f>
        <v>VIÁVEL: TIR maior que a taxa de desconto</v>
      </c>
    </row>
    <row r="40" customFormat="false" ht="15" hidden="false" customHeight="true" outlineLevel="0" collapsed="false">
      <c r="A40" s="3" t="s">
        <v>329</v>
      </c>
      <c r="B40" s="68" t="n">
        <f aca="false">IF(ISNUMBER(B39),IF(B6="Mensal",(1+B39)^12-1,B39),"Não calculável")</f>
        <v>7.58827927379579</v>
      </c>
      <c r="C40" s="67" t="str">
        <f aca="false">"Compare com a taxa anual de "&amp;ROUND(B5*100,2)&amp;"%"</f>
        <v>Compare com a taxa anual de 24%</v>
      </c>
    </row>
    <row r="41" customFormat="false" ht="15" hidden="false" customHeight="true" outlineLevel="0" collapsed="false">
      <c r="A41" s="3" t="s">
        <v>330</v>
      </c>
      <c r="B41" s="66" t="n">
        <f aca="false">'Fluxo de Caixa'!F5</f>
        <v>102000</v>
      </c>
      <c r="C41" s="67" t="str">
        <f aca="false">IF(B41=0,"Atenção: informe o investimento no período 0 da aba Fluxo de Caixa","")</f>
        <v/>
      </c>
    </row>
    <row r="42" customFormat="false" ht="15" hidden="false" customHeight="true" outlineLevel="0" collapsed="false">
      <c r="A42" s="3" t="s">
        <v>331</v>
      </c>
      <c r="B42" s="68" t="n">
        <f aca="false">IF(B41=0,"-",B38/B41)</f>
        <v>11.9691105212248</v>
      </c>
      <c r="C42" s="67" t="str">
        <f aca="false">"Para cada R$ 100 de investimento inicial, o projeto gera R$ "&amp;IF(ISNUMBER(B42),ROUND(B42*100,2),"-")&amp;" de VPL acima da taxa exigida"</f>
        <v>Para cada R$ 100 de investimento inicial, o projeto gera R$ 1196.91 de VPL acima da taxa exigida</v>
      </c>
    </row>
    <row r="43" customFormat="false" ht="15" hidden="false" customHeight="true" outlineLevel="0" collapsed="false">
      <c r="A43" s="3" t="s">
        <v>308</v>
      </c>
      <c r="B43" s="69" t="n">
        <f aca="false">'Necessidade de Caixa e Payback'!F33</f>
        <v>9</v>
      </c>
      <c r="C43" s="67" t="str">
        <f aca="false">"Período em que o saldo acumulado (sem descontar) fica positivo"</f>
        <v>Período em que o saldo acumulado (sem descontar) fica positivo</v>
      </c>
    </row>
    <row r="44" customFormat="false" ht="15" hidden="false" customHeight="true" outlineLevel="0" collapsed="false">
      <c r="A44" s="3" t="s">
        <v>332</v>
      </c>
      <c r="B44" s="69" t="n">
        <f aca="false">IFERROR(INDEX(A11:A35,MATCH("Sim",F11:F35,0)),"Não recupera")</f>
        <v>10</v>
      </c>
      <c r="C44" s="67" t="str">
        <f aca="false">"Período em que o VP acumulado fica positivo"</f>
        <v>Período em que o VP acumulado fica positivo</v>
      </c>
    </row>
    <row r="45" customFormat="false" ht="15" hidden="false" customHeight="true" outlineLevel="0" collapsed="false">
      <c r="A45" s="3" t="s">
        <v>333</v>
      </c>
      <c r="B45" s="66" t="n">
        <f aca="false">'Necessidade de Caixa e Payback'!F32</f>
        <v>118526.3</v>
      </c>
      <c r="C45" s="67" t="str">
        <f aca="false">"Dinheiro que os sócios precisam ter para cobrir o pior momento"</f>
        <v>Dinheiro que os sócios precisam ter para cobrir o pior momento</v>
      </c>
    </row>
    <row r="47" customFormat="false" ht="15" hidden="false" customHeight="true" outlineLevel="0" collapsed="false">
      <c r="A47" s="4" t="s">
        <v>334</v>
      </c>
      <c r="B47" s="50"/>
      <c r="C47" s="50"/>
      <c r="D47" s="50"/>
      <c r="E47" s="50"/>
      <c r="F47" s="50"/>
      <c r="G47" s="50"/>
    </row>
    <row r="48" customFormat="false" ht="15" hidden="false" customHeight="true" outlineLevel="0" collapsed="false">
      <c r="A48" s="70" t="s">
        <v>335</v>
      </c>
    </row>
    <row r="49" customFormat="false" ht="15" hidden="false" customHeight="true" outlineLevel="0" collapsed="false">
      <c r="A49" s="70" t="s">
        <v>336</v>
      </c>
    </row>
    <row r="50" customFormat="false" ht="15" hidden="false" customHeight="true" outlineLevel="0" collapsed="false">
      <c r="A50" s="70" t="s">
        <v>337</v>
      </c>
    </row>
    <row r="51" customFormat="false" ht="15" hidden="false" customHeight="true" outlineLevel="0" collapsed="false">
      <c r="A51" s="70" t="s">
        <v>338</v>
      </c>
    </row>
    <row r="52" customFormat="false" ht="15" hidden="false" customHeight="true" outlineLevel="0" collapsed="false">
      <c r="A52" s="70" t="s">
        <v>339</v>
      </c>
    </row>
    <row r="53" customFormat="false" ht="15" hidden="false" customHeight="true" outlineLevel="0" collapsed="false">
      <c r="A53" s="70" t="s">
        <v>340</v>
      </c>
    </row>
  </sheetData>
  <sheetProtection sheet="true"/>
  <conditionalFormatting sqref="E11:E35">
    <cfRule type="expression" priority="2" aboveAverage="0" equalAverage="0" bottom="0" percent="0" rank="0" text="" dxfId="0">
      <formula>E11&lt;0</formula>
    </cfRule>
  </conditionalFormatting>
  <conditionalFormatting sqref="C38">
    <cfRule type="expression" priority="3" aboveAverage="0" equalAverage="0" bottom="0" percent="0" rank="0" text="" dxfId="1">
      <formula>LEFT($C$38,6)="VIÁVEL"</formula>
    </cfRule>
    <cfRule type="expression" priority="4" aboveAverage="0" equalAverage="0" bottom="0" percent="0" rank="0" text="" dxfId="2">
      <formula>LEFT($C$38,8)="INVIÁVEL"</formula>
    </cfRule>
  </conditionalFormatting>
  <conditionalFormatting sqref="C39">
    <cfRule type="expression" priority="5" aboveAverage="0" equalAverage="0" bottom="0" percent="0" rank="0" text="" dxfId="1">
      <formula>LEFT($C$39,6)="VIÁVEL"</formula>
    </cfRule>
    <cfRule type="expression" priority="6" aboveAverage="0" equalAverage="0" bottom="0" percent="0" rank="0" text="" dxfId="2">
      <formula>LEFT($C$39,8)="INVIÁVEL"</formula>
    </cfRule>
  </conditionalFormatting>
  <conditionalFormatting sqref="C41">
    <cfRule type="expression" priority="7" aboveAverage="0" equalAverage="0" bottom="0" percent="0" rank="0" text="" dxfId="3">
      <formula>LEN($C$41)&gt;0</formula>
    </cfRule>
  </conditionalFormatting>
  <dataValidations count="2">
    <dataValidation allowBlank="false" error="Escolha Mensal ou Anual." errorStyle="stop" errorTitle="Valor inválido" operator="between" showDropDown="false" showErrorMessage="true" showInputMessage="false" sqref="B6" type="list">
      <formula1>"Mensal,Anual"</formula1>
      <formula2>0</formula2>
    </dataValidation>
    <dataValidation allowBlank="false" error="Digite a taxa com o símbolo %, por exemplo 15%. O valor deve estar entre 0% e 100% ao ano." errorStyle="stop" errorTitle="Taxa inválida" operator="between" prompt="Digite com o símbolo %: ex. 15%" promptTitle="Taxa anual" showDropDown="false" showErrorMessage="true" showInputMessage="true" sqref="B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2026-10-06T22:56:11Z</dcterms:created>
  <dc:creator>openpyxl</dc:creator>
  <dc:description/>
  <dc:language>en-US</dc:language>
  <cp:lastModifiedBy/>
  <dcterms:modified xsi:type="dcterms:W3CDTF">2026-10-21T00:47:38Z</dcterms:modified>
  <cp:revision>0</cp:revision>
  <dc:subject/>
  <dc:title>Precept – Memória de Cálculo (VPL, TIR, Payback e Mercado)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QE7_ATwDaE3lVnAA0nKYXgI9mCHbLuj4aSfINcxKQ6o</vt:lpwstr>
  </property>
</Properties>
</file>