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 3 - Armazéns" sheetId="1" state="visible" r:id="rId1"/>
    <sheet name="Quiz 4 - Distribui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0000FF"/>
      <sz val="10"/>
    </font>
    <font>
      <name val="Arial"/>
      <sz val="10"/>
    </font>
    <font>
      <name val="Arial"/>
      <b val="1"/>
      <sz val="12"/>
    </font>
    <font>
      <name val="Arial"/>
      <b val="1"/>
      <color rgb="00000000"/>
      <sz val="12"/>
    </font>
    <font>
      <name val="Arial"/>
      <b val="1"/>
      <color rgb="00FF0000"/>
      <sz val="10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FFFFC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000FF"/>
      </left>
      <right style="medium">
        <color rgb="000000FF"/>
      </right>
      <top style="medium">
        <color rgb="000000FF"/>
      </top>
      <bottom style="medium">
        <color rgb="000000F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4" fillId="0" borderId="0" pivotButton="0" quotePrefix="0" xfId="0"/>
    <xf numFmtId="1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164" fontId="6" fillId="0" borderId="1" pivotButton="0" quotePrefix="0" xfId="0"/>
    <xf numFmtId="0" fontId="7" fillId="0" borderId="0" pivotButton="0" quotePrefix="0" xfId="0"/>
    <xf numFmtId="164" fontId="8" fillId="4" borderId="2" pivotButton="0" quotePrefix="0" xfId="0"/>
    <xf numFmtId="0" fontId="6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5" borderId="0" pivotButton="0" quotePrefix="0" xfId="0"/>
    <xf numFmtId="0" fontId="6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10" fillId="6" borderId="0" applyAlignment="1" pivotButton="0" quotePrefix="0" xfId="0">
      <alignment horizontal="left" vertical="top" wrapText="1"/>
    </xf>
    <xf numFmtId="0" fontId="4" fillId="0" borderId="1" pivotButton="0" quotePrefix="0" xfId="0"/>
    <xf numFmtId="164" fontId="4" fillId="0" borderId="1" pivotButton="0" quotePrefix="0" xfId="0"/>
    <xf numFmtId="165" fontId="6" fillId="0" borderId="1" pivotButton="0" quotePrefix="0" xfId="0"/>
    <xf numFmtId="3" fontId="4" fillId="0" borderId="1" pivotButton="0" quotePrefix="0" xfId="0"/>
    <xf numFmtId="0" fontId="6" fillId="0" borderId="1" pivotButton="0" quotePrefix="0" xfId="0"/>
    <xf numFmtId="164" fontId="7" fillId="4" borderId="2" pivotButton="0" quotePrefix="0" xfId="0"/>
    <xf numFmtId="0" fontId="7" fillId="6" borderId="0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Análise de Sensibilidade: Capacidade Máxima por Arco vs Custo Total</a:t>
            </a:r>
          </a:p>
        </rich>
      </tx>
    </title>
    <plotArea>
      <lineChart>
        <grouping val="standard"/>
        <ser>
          <idx val="0"/>
          <order val="0"/>
          <tx>
            <strRef>
              <f>'Quiz 4 - Distribuição'!B123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'Quiz 4 - Distribuição'!$A$124:$A$134</f>
            </numRef>
          </cat>
          <val>
            <numRef>
              <f>'Quiz 4 - Distribuição'!$B$124:$B$134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Capacidade Máxima por Arco (veículos)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Custo Total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153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QUIZ 3 — Localização de Armazéns (Programação Linear Inteira Mista)</t>
        </is>
      </c>
    </row>
    <row r="3">
      <c r="A3" s="2" t="inlineStr">
        <is>
          <t>1. DADOS DO PROBLEMA</t>
        </is>
      </c>
      <c r="B3" s="3" t="n"/>
      <c r="C3" s="3" t="n"/>
      <c r="D3" s="3" t="n"/>
      <c r="E3" s="3" t="n"/>
      <c r="F3" s="3" t="n"/>
      <c r="G3" s="3" t="n"/>
      <c r="H3" s="3" t="n"/>
    </row>
    <row r="5">
      <c r="A5" s="4" t="inlineStr">
        <is>
          <t>Custos Unitários de Produção + Transporte ($/unidade)</t>
        </is>
      </c>
    </row>
    <row r="6">
      <c r="A6" s="5" t="inlineStr">
        <is>
          <t>Armazém</t>
        </is>
      </c>
      <c r="B6" s="5" t="inlineStr">
        <is>
          <t>Região 1</t>
        </is>
      </c>
      <c r="C6" s="5" t="inlineStr">
        <is>
          <t>Região 2</t>
        </is>
      </c>
      <c r="D6" s="5" t="inlineStr">
        <is>
          <t>Região 3</t>
        </is>
      </c>
    </row>
    <row r="7">
      <c r="A7" s="6" t="inlineStr">
        <is>
          <t>NY</t>
        </is>
      </c>
      <c r="B7" s="7" t="n">
        <v>26</v>
      </c>
      <c r="C7" s="7" t="n">
        <v>41</v>
      </c>
      <c r="D7" s="7" t="n">
        <v>39</v>
      </c>
    </row>
    <row r="8">
      <c r="A8" s="6" t="inlineStr">
        <is>
          <t>LA</t>
        </is>
      </c>
      <c r="B8" s="7" t="n">
        <v>59</v>
      </c>
      <c r="C8" s="7" t="n">
        <v>27</v>
      </c>
      <c r="D8" s="7" t="n">
        <v>27</v>
      </c>
    </row>
    <row r="9">
      <c r="A9" s="6" t="inlineStr">
        <is>
          <t>Chicago</t>
        </is>
      </c>
      <c r="B9" s="7" t="n">
        <v>28</v>
      </c>
      <c r="C9" s="7" t="n">
        <v>32</v>
      </c>
      <c r="D9" s="7" t="n">
        <v>43</v>
      </c>
    </row>
    <row r="10">
      <c r="A10" s="6" t="inlineStr">
        <is>
          <t>Atlanta</t>
        </is>
      </c>
      <c r="B10" s="7" t="n">
        <v>28</v>
      </c>
      <c r="C10" s="7" t="n">
        <v>40</v>
      </c>
      <c r="D10" s="7" t="n">
        <v>38</v>
      </c>
    </row>
    <row r="12">
      <c r="A12" s="4" t="inlineStr">
        <is>
          <t>Custos Fixos Semanais</t>
        </is>
      </c>
    </row>
    <row r="13">
      <c r="A13" s="5" t="inlineStr">
        <is>
          <t>Armazém</t>
        </is>
      </c>
      <c r="B13" s="5" t="inlineStr">
        <is>
          <t>Custo Fixo</t>
        </is>
      </c>
    </row>
    <row r="14">
      <c r="A14" s="6" t="inlineStr">
        <is>
          <t>NY</t>
        </is>
      </c>
      <c r="B14" s="7" t="n">
        <v>60000</v>
      </c>
    </row>
    <row r="15">
      <c r="A15" s="6" t="inlineStr">
        <is>
          <t>LA</t>
        </is>
      </c>
      <c r="B15" s="7" t="n">
        <v>50000</v>
      </c>
    </row>
    <row r="16">
      <c r="A16" s="6" t="inlineStr">
        <is>
          <t>Chicago</t>
        </is>
      </c>
      <c r="B16" s="7" t="n">
        <v>40000</v>
      </c>
    </row>
    <row r="17">
      <c r="A17" s="6" t="inlineStr">
        <is>
          <t>Atlanta</t>
        </is>
      </c>
      <c r="B17" s="7" t="n">
        <v>35000</v>
      </c>
    </row>
    <row r="19">
      <c r="A19" s="4" t="inlineStr">
        <is>
          <t>Demandas Semanais por Região</t>
        </is>
      </c>
    </row>
    <row r="20">
      <c r="A20" s="5" t="inlineStr">
        <is>
          <t>Região</t>
        </is>
      </c>
      <c r="B20" s="5" t="inlineStr">
        <is>
          <t>Demanda</t>
        </is>
      </c>
    </row>
    <row r="21">
      <c r="A21" s="6" t="inlineStr">
        <is>
          <t>Região 1</t>
        </is>
      </c>
      <c r="B21" s="8" t="n">
        <v>8000</v>
      </c>
    </row>
    <row r="22">
      <c r="A22" s="6" t="inlineStr">
        <is>
          <t>Região 2</t>
        </is>
      </c>
      <c r="B22" s="8" t="n">
        <v>9000</v>
      </c>
    </row>
    <row r="23">
      <c r="A23" s="6" t="inlineStr">
        <is>
          <t>Região 3</t>
        </is>
      </c>
      <c r="B23" s="8" t="n">
        <v>7000</v>
      </c>
    </row>
    <row r="25">
      <c r="A25" s="4" t="inlineStr">
        <is>
          <t>Capacidade máx. por armazém:</t>
        </is>
      </c>
      <c r="B25" s="9" t="n">
        <v>15000</v>
      </c>
    </row>
    <row r="27">
      <c r="A27" s="2" t="inlineStr">
        <is>
          <t>2. VARIÁVEIS DE DECISÃO (células que o Solver altera)</t>
        </is>
      </c>
      <c r="B27" s="3" t="n"/>
      <c r="C27" s="3" t="n"/>
      <c r="D27" s="3" t="n"/>
      <c r="E27" s="3" t="n"/>
      <c r="F27" s="3" t="n"/>
      <c r="G27" s="3" t="n"/>
      <c r="H27" s="3" t="n"/>
    </row>
    <row r="29">
      <c r="A29" s="4" t="inlineStr">
        <is>
          <t>y_i — Abrir armazém? (0 ou 1) → VARIÁVEIS BINÁRIAS</t>
        </is>
      </c>
    </row>
    <row r="30">
      <c r="A30" s="5" t="inlineStr">
        <is>
          <t>y_NY</t>
        </is>
      </c>
      <c r="B30" s="5" t="inlineStr">
        <is>
          <t>y_LA</t>
        </is>
      </c>
      <c r="C30" s="5" t="inlineStr">
        <is>
          <t>y_Chicago</t>
        </is>
      </c>
      <c r="D30" s="5" t="inlineStr">
        <is>
          <t>y_Atlanta</t>
        </is>
      </c>
    </row>
    <row r="31">
      <c r="A31" s="10" t="n">
        <v>0</v>
      </c>
      <c r="B31" s="10" t="n">
        <v>1</v>
      </c>
      <c r="C31" s="10" t="n">
        <v>1</v>
      </c>
      <c r="D31" s="10" t="n">
        <v>0</v>
      </c>
    </row>
    <row r="33">
      <c r="A33" s="4" t="inlineStr">
        <is>
          <t>x_ij — Unidades enviadas de armazém i → região j → VARIÁVEIS CONTÍNUAS</t>
        </is>
      </c>
    </row>
    <row r="34">
      <c r="A34" s="5" t="inlineStr">
        <is>
          <t>x_ij</t>
        </is>
      </c>
      <c r="B34" s="5" t="inlineStr">
        <is>
          <t>Região 1</t>
        </is>
      </c>
      <c r="C34" s="5" t="inlineStr">
        <is>
          <t>Região 2</t>
        </is>
      </c>
      <c r="D34" s="5" t="inlineStr">
        <is>
          <t>Região 3</t>
        </is>
      </c>
      <c r="E34" s="5" t="inlineStr">
        <is>
          <t>Total Enviado (LHS cap.)</t>
        </is>
      </c>
    </row>
    <row r="35">
      <c r="A35" s="5" t="inlineStr">
        <is>
          <t>NY</t>
        </is>
      </c>
      <c r="B35" s="11" t="n">
        <v>0</v>
      </c>
      <c r="C35" s="11" t="n">
        <v>0</v>
      </c>
      <c r="D35" s="11" t="n">
        <v>0</v>
      </c>
      <c r="E35" s="12">
        <f>SUM(B35:D35)</f>
        <v/>
      </c>
    </row>
    <row r="36">
      <c r="A36" s="5" t="inlineStr">
        <is>
          <t>LA</t>
        </is>
      </c>
      <c r="B36" s="11" t="n">
        <v>0</v>
      </c>
      <c r="C36" s="11" t="n">
        <v>8000</v>
      </c>
      <c r="D36" s="11" t="n">
        <v>7000</v>
      </c>
      <c r="E36" s="12">
        <f>SUM(B36:D36)</f>
        <v/>
      </c>
    </row>
    <row r="37">
      <c r="A37" s="5" t="inlineStr">
        <is>
          <t>Chicago</t>
        </is>
      </c>
      <c r="B37" s="11" t="n">
        <v>8000</v>
      </c>
      <c r="C37" s="11" t="n">
        <v>1000</v>
      </c>
      <c r="D37" s="11" t="n">
        <v>0</v>
      </c>
      <c r="E37" s="12">
        <f>SUM(B37:D37)</f>
        <v/>
      </c>
    </row>
    <row r="38">
      <c r="A38" s="5" t="inlineStr">
        <is>
          <t>Atlanta</t>
        </is>
      </c>
      <c r="B38" s="11" t="n">
        <v>0</v>
      </c>
      <c r="C38" s="11" t="n">
        <v>0</v>
      </c>
      <c r="D38" s="11" t="n">
        <v>0</v>
      </c>
      <c r="E38" s="12">
        <f>SUM(B38:D38)</f>
        <v/>
      </c>
    </row>
    <row r="39">
      <c r="A39" s="5" t="inlineStr">
        <is>
          <t>Total Recebido (LHS dem.)</t>
        </is>
      </c>
      <c r="B39" s="12">
        <f>SUM(B35:B38)</f>
        <v/>
      </c>
      <c r="C39" s="12">
        <f>SUM(C35:C38)</f>
        <v/>
      </c>
      <c r="D39" s="12">
        <f>SUM(D35:D38)</f>
        <v/>
      </c>
    </row>
    <row r="41">
      <c r="A41" s="2" t="inlineStr">
        <is>
          <t>3. FUNÇÃO OBJETIVO — Minimizar Custo Total</t>
        </is>
      </c>
      <c r="B41" s="3" t="n"/>
      <c r="C41" s="3" t="n"/>
      <c r="D41" s="3" t="n"/>
      <c r="E41" s="3" t="n"/>
      <c r="F41" s="3" t="n"/>
      <c r="G41" s="3" t="n"/>
      <c r="H41" s="3" t="n"/>
    </row>
    <row r="43">
      <c r="A43" s="4" t="inlineStr">
        <is>
          <t>Custo Fixo:</t>
        </is>
      </c>
      <c r="B43" s="13">
        <f>B14*A31+B15*B31+B16*C31+B17*D31</f>
        <v/>
      </c>
    </row>
    <row r="44">
      <c r="A44" s="4" t="inlineStr">
        <is>
          <t>Custo Variável:</t>
        </is>
      </c>
      <c r="B44" s="13">
        <f>SUMPRODUCT(B7:D10,B35:D38)</f>
        <v/>
      </c>
    </row>
    <row r="45">
      <c r="A45" s="14" t="inlineStr">
        <is>
          <t>▶ CUSTO TOTAL (Célula Objetivo):</t>
        </is>
      </c>
      <c r="B45" s="15">
        <f>B43+B44</f>
        <v/>
      </c>
    </row>
    <row r="47">
      <c r="A47" s="2" t="inlineStr">
        <is>
          <t>4. RESTRIÇÕES (LHS e RHS para o Solver)</t>
        </is>
      </c>
      <c r="B47" s="3" t="n"/>
      <c r="C47" s="3" t="n"/>
      <c r="D47" s="3" t="n"/>
      <c r="E47" s="3" t="n"/>
      <c r="F47" s="3" t="n"/>
      <c r="G47" s="3" t="n"/>
      <c r="H47" s="3" t="n"/>
    </row>
    <row r="49">
      <c r="A49" s="5" t="inlineStr">
        <is>
          <t>Descrição</t>
        </is>
      </c>
      <c r="B49" s="5" t="inlineStr">
        <is>
          <t>Célula LHS</t>
        </is>
      </c>
      <c r="C49" s="5" t="inlineStr">
        <is>
          <t>Fórmula LHS</t>
        </is>
      </c>
      <c r="D49" s="5" t="inlineStr">
        <is>
          <t>Sinal</t>
        </is>
      </c>
      <c r="E49" s="5" t="inlineStr">
        <is>
          <t>Célula RHS</t>
        </is>
      </c>
      <c r="F49" s="5" t="inlineStr">
        <is>
          <t>Valor RHS</t>
        </is>
      </c>
      <c r="G49" s="5" t="inlineStr">
        <is>
          <t>Status</t>
        </is>
      </c>
    </row>
    <row r="50">
      <c r="A50" s="16" t="inlineStr">
        <is>
          <t>Demanda Região 1: Σx_ij ≥ 8000</t>
        </is>
      </c>
      <c r="B50" s="6" t="inlineStr">
        <is>
          <t>C50</t>
        </is>
      </c>
      <c r="C50" s="12">
        <f>B39</f>
        <v/>
      </c>
      <c r="D50" s="17" t="inlineStr">
        <is>
          <t>&gt;=</t>
        </is>
      </c>
      <c r="E50" s="6" t="inlineStr">
        <is>
          <t>F50</t>
        </is>
      </c>
      <c r="F50" s="8" t="n">
        <v>8000</v>
      </c>
      <c r="G50" s="18">
        <f>IF(C50&gt;=F50,"OK","VIOLA")</f>
        <v/>
      </c>
    </row>
    <row r="51">
      <c r="A51" s="16" t="inlineStr">
        <is>
          <t>Demanda Região 2: Σx_ij ≥ 9000</t>
        </is>
      </c>
      <c r="B51" s="6" t="inlineStr">
        <is>
          <t>C51</t>
        </is>
      </c>
      <c r="C51" s="12">
        <f>C39</f>
        <v/>
      </c>
      <c r="D51" s="17" t="inlineStr">
        <is>
          <t>&gt;=</t>
        </is>
      </c>
      <c r="E51" s="6" t="inlineStr">
        <is>
          <t>F51</t>
        </is>
      </c>
      <c r="F51" s="8" t="n">
        <v>9000</v>
      </c>
      <c r="G51" s="18">
        <f>IF(C51&gt;=F51,"OK","VIOLA")</f>
        <v/>
      </c>
    </row>
    <row r="52">
      <c r="A52" s="16" t="inlineStr">
        <is>
          <t>Demanda Região 3: Σx_ij ≥ 7000</t>
        </is>
      </c>
      <c r="B52" s="6" t="inlineStr">
        <is>
          <t>C52</t>
        </is>
      </c>
      <c r="C52" s="12">
        <f>D39</f>
        <v/>
      </c>
      <c r="D52" s="17" t="inlineStr">
        <is>
          <t>&gt;=</t>
        </is>
      </c>
      <c r="E52" s="6" t="inlineStr">
        <is>
          <t>F52</t>
        </is>
      </c>
      <c r="F52" s="8" t="n">
        <v>7000</v>
      </c>
      <c r="G52" s="18">
        <f>IF(C52&gt;=F52,"OK","VIOLA")</f>
        <v/>
      </c>
    </row>
    <row r="53">
      <c r="A53" s="16" t="inlineStr">
        <is>
          <t>Capacidade NY: Σx_NYj ≤ 15000·y_NY</t>
        </is>
      </c>
      <c r="B53" s="6" t="inlineStr">
        <is>
          <t>C53</t>
        </is>
      </c>
      <c r="C53" s="12">
        <f>E35</f>
        <v/>
      </c>
      <c r="D53" s="17" t="inlineStr">
        <is>
          <t>&lt;=</t>
        </is>
      </c>
      <c r="E53" s="6" t="inlineStr">
        <is>
          <t>F53</t>
        </is>
      </c>
      <c r="F53" s="12">
        <f>B25*A31</f>
        <v/>
      </c>
      <c r="G53" s="18">
        <f>IF(C53&lt;=F53,"OK","VIOLA")</f>
        <v/>
      </c>
    </row>
    <row r="54">
      <c r="A54" s="16" t="inlineStr">
        <is>
          <t>Capacidade LA: Σx_LAj ≤ 15000·y_LA</t>
        </is>
      </c>
      <c r="B54" s="6" t="inlineStr">
        <is>
          <t>C54</t>
        </is>
      </c>
      <c r="C54" s="12">
        <f>E36</f>
        <v/>
      </c>
      <c r="D54" s="17" t="inlineStr">
        <is>
          <t>&lt;=</t>
        </is>
      </c>
      <c r="E54" s="6" t="inlineStr">
        <is>
          <t>F54</t>
        </is>
      </c>
      <c r="F54" s="12">
        <f>B25*B31</f>
        <v/>
      </c>
      <c r="G54" s="18">
        <f>IF(C54&lt;=F54,"OK","VIOLA")</f>
        <v/>
      </c>
    </row>
    <row r="55">
      <c r="A55" s="16" t="inlineStr">
        <is>
          <t>Capacidade Chicago: Σx_Chicagoj ≤ 15000·y_Chicago</t>
        </is>
      </c>
      <c r="B55" s="6" t="inlineStr">
        <is>
          <t>C55</t>
        </is>
      </c>
      <c r="C55" s="12">
        <f>E37</f>
        <v/>
      </c>
      <c r="D55" s="17" t="inlineStr">
        <is>
          <t>&lt;=</t>
        </is>
      </c>
      <c r="E55" s="6" t="inlineStr">
        <is>
          <t>F55</t>
        </is>
      </c>
      <c r="F55" s="12">
        <f>B25*C31</f>
        <v/>
      </c>
      <c r="G55" s="18">
        <f>IF(C55&lt;=F55,"OK","VIOLA")</f>
        <v/>
      </c>
    </row>
    <row r="56">
      <c r="A56" s="16" t="inlineStr">
        <is>
          <t>Capacidade Atlanta: Σx_Atlantaj ≤ 15000·y_Atlanta</t>
        </is>
      </c>
      <c r="B56" s="6" t="inlineStr">
        <is>
          <t>C56</t>
        </is>
      </c>
      <c r="C56" s="12">
        <f>E38</f>
        <v/>
      </c>
      <c r="D56" s="17" t="inlineStr">
        <is>
          <t>&lt;=</t>
        </is>
      </c>
      <c r="E56" s="6" t="inlineStr">
        <is>
          <t>F56</t>
        </is>
      </c>
      <c r="F56" s="12">
        <f>B25*D31</f>
        <v/>
      </c>
      <c r="G56" s="18">
        <f>IF(C56&lt;=F56,"OK","VIOLA")</f>
        <v/>
      </c>
    </row>
    <row r="57">
      <c r="A57" s="16" t="inlineStr">
        <is>
          <t>NY→LA: y_NY ≤ y_LA</t>
        </is>
      </c>
      <c r="B57" s="6" t="inlineStr">
        <is>
          <t>C57</t>
        </is>
      </c>
      <c r="C57" s="12">
        <f>A31</f>
        <v/>
      </c>
      <c r="D57" s="17" t="inlineStr">
        <is>
          <t>&lt;=</t>
        </is>
      </c>
      <c r="E57" s="6" t="inlineStr">
        <is>
          <t>F57</t>
        </is>
      </c>
      <c r="F57" s="12">
        <f>B31</f>
        <v/>
      </c>
      <c r="G57" s="18">
        <f>IF(C57&lt;=F57,"OK","VIOLA")</f>
        <v/>
      </c>
    </row>
    <row r="58">
      <c r="A58" s="16" t="inlineStr">
        <is>
          <t>Máx 2 armazéns: Σy_i ≤ 2</t>
        </is>
      </c>
      <c r="B58" s="6" t="inlineStr">
        <is>
          <t>C58</t>
        </is>
      </c>
      <c r="C58" s="12">
        <f>SUM(A31:D31)</f>
        <v/>
      </c>
      <c r="D58" s="17" t="inlineStr">
        <is>
          <t>&lt;=</t>
        </is>
      </c>
      <c r="E58" s="6" t="inlineStr">
        <is>
          <t>F58</t>
        </is>
      </c>
      <c r="F58" s="8" t="n">
        <v>2</v>
      </c>
      <c r="G58" s="18">
        <f>IF(C58&lt;=F58,"OK","VIOLA")</f>
        <v/>
      </c>
    </row>
    <row r="59">
      <c r="A59" s="16" t="inlineStr">
        <is>
          <t>ATL ou LA: y_ATL + y_LA ≥ 1</t>
        </is>
      </c>
      <c r="B59" s="6" t="inlineStr">
        <is>
          <t>C59</t>
        </is>
      </c>
      <c r="C59" s="12">
        <f>D31+B31</f>
        <v/>
      </c>
      <c r="D59" s="17" t="inlineStr">
        <is>
          <t>&gt;=</t>
        </is>
      </c>
      <c r="E59" s="6" t="inlineStr">
        <is>
          <t>F59</t>
        </is>
      </c>
      <c r="F59" s="8" t="n">
        <v>1</v>
      </c>
      <c r="G59" s="18">
        <f>IF(C59&gt;=F59,"OK","VIOLA")</f>
        <v/>
      </c>
    </row>
    <row r="60">
      <c r="A60" s="19" t="inlineStr">
        <is>
          <t>y_i ∈ {0,1} — Binário</t>
        </is>
      </c>
      <c r="B60" s="6" t="inlineStr">
        <is>
          <t>A31:D31</t>
        </is>
      </c>
      <c r="D60" s="17" t="inlineStr">
        <is>
          <t>bin</t>
        </is>
      </c>
    </row>
    <row r="61">
      <c r="A61" s="19" t="inlineStr">
        <is>
          <t>x_ij ≥ 0 — Não-negatividade</t>
        </is>
      </c>
      <c r="B61" s="6" t="inlineStr">
        <is>
          <t>B35:D38</t>
        </is>
      </c>
      <c r="D61" s="17" t="inlineStr">
        <is>
          <t>&gt;=</t>
        </is>
      </c>
      <c r="F61" s="6" t="n">
        <v>0</v>
      </c>
    </row>
    <row r="63">
      <c r="A63" s="2" t="inlineStr">
        <is>
          <t>5. CONFIGURAÇÃO DO SOLVER — PASSO A PASSO</t>
        </is>
      </c>
      <c r="B63" s="3" t="n"/>
      <c r="C63" s="3" t="n"/>
      <c r="D63" s="3" t="n"/>
      <c r="E63" s="3" t="n"/>
      <c r="F63" s="3" t="n"/>
      <c r="G63" s="3" t="n"/>
      <c r="H63" s="3" t="n"/>
    </row>
    <row r="65">
      <c r="A65" s="20" t="inlineStr">
        <is>
          <t>PASSO 1:</t>
        </is>
      </c>
      <c r="B65" s="21" t="inlineStr">
        <is>
          <t>Abra a aba 'Dados' → clique em 'Solver' (canto superior direito)</t>
        </is>
      </c>
    </row>
    <row r="66">
      <c r="A66" s="20" t="inlineStr">
        <is>
          <t>PASSO 2:</t>
        </is>
      </c>
      <c r="B66" s="21" t="inlineStr">
        <is>
          <t>Definir Objetivo: selecione a célula B45 (custo total, fundo amarelo)</t>
        </is>
      </c>
    </row>
    <row r="67">
      <c r="A67" s="20" t="inlineStr">
        <is>
          <t>PASSO 3:</t>
        </is>
      </c>
      <c r="B67" s="21" t="inlineStr">
        <is>
          <t>Para: selecione 'Mín' (minimizar)</t>
        </is>
      </c>
    </row>
    <row r="68">
      <c r="A68" s="20" t="inlineStr">
        <is>
          <t>PASSO 4:</t>
        </is>
      </c>
      <c r="B68" s="21" t="inlineStr">
        <is>
          <t>Alterando Células Variáveis: A31:D31,B35:D38</t>
        </is>
      </c>
    </row>
    <row r="69">
      <c r="A69" s="20" t="inlineStr">
        <is>
          <t>PASSO 5:</t>
        </is>
      </c>
      <c r="B69" s="21" t="inlineStr">
        <is>
          <t>Sujeito às Restrições — clique 'Adicionar' para cada uma:</t>
        </is>
      </c>
    </row>
    <row r="71">
      <c r="A71" s="4" t="inlineStr">
        <is>
          <t>Restrições a adicionar no Solver:</t>
        </is>
      </c>
    </row>
    <row r="72">
      <c r="A72" s="5" t="inlineStr">
        <is>
          <t>#</t>
        </is>
      </c>
      <c r="B72" s="5" t="inlineStr">
        <is>
          <t>Referência da Célula (LHS)</t>
        </is>
      </c>
      <c r="C72" s="5" t="inlineStr">
        <is>
          <t>Operador</t>
        </is>
      </c>
      <c r="D72" s="5" t="inlineStr">
        <is>
          <t>Restrição (RHS)</t>
        </is>
      </c>
      <c r="E72" s="5" t="inlineStr">
        <is>
          <t>Descrição</t>
        </is>
      </c>
    </row>
    <row r="73">
      <c r="A73" s="18" t="n">
        <v>1</v>
      </c>
      <c r="B73" s="22" t="inlineStr">
        <is>
          <t>C50</t>
        </is>
      </c>
      <c r="C73" s="17" t="inlineStr">
        <is>
          <t>&gt;=</t>
        </is>
      </c>
      <c r="D73" s="22" t="inlineStr">
        <is>
          <t>F50</t>
        </is>
      </c>
      <c r="E73" s="16" t="inlineStr">
        <is>
          <t>Demanda Região 1</t>
        </is>
      </c>
    </row>
    <row r="74">
      <c r="A74" s="18" t="n">
        <v>2</v>
      </c>
      <c r="B74" s="22" t="inlineStr">
        <is>
          <t>C51</t>
        </is>
      </c>
      <c r="C74" s="17" t="inlineStr">
        <is>
          <t>&gt;=</t>
        </is>
      </c>
      <c r="D74" s="22" t="inlineStr">
        <is>
          <t>F51</t>
        </is>
      </c>
      <c r="E74" s="16" t="inlineStr">
        <is>
          <t>Demanda Região 2</t>
        </is>
      </c>
    </row>
    <row r="75">
      <c r="A75" s="18" t="n">
        <v>3</v>
      </c>
      <c r="B75" s="22" t="inlineStr">
        <is>
          <t>C52</t>
        </is>
      </c>
      <c r="C75" s="17" t="inlineStr">
        <is>
          <t>&gt;=</t>
        </is>
      </c>
      <c r="D75" s="22" t="inlineStr">
        <is>
          <t>F52</t>
        </is>
      </c>
      <c r="E75" s="16" t="inlineStr">
        <is>
          <t>Demanda Região 3</t>
        </is>
      </c>
    </row>
    <row r="76">
      <c r="A76" s="18" t="n">
        <v>4</v>
      </c>
      <c r="B76" s="22" t="inlineStr">
        <is>
          <t>C53</t>
        </is>
      </c>
      <c r="C76" s="17" t="inlineStr">
        <is>
          <t>&lt;=</t>
        </is>
      </c>
      <c r="D76" s="22" t="inlineStr">
        <is>
          <t>F53</t>
        </is>
      </c>
      <c r="E76" s="16" t="inlineStr">
        <is>
          <t>Capacidade NY</t>
        </is>
      </c>
    </row>
    <row r="77">
      <c r="A77" s="18" t="n">
        <v>5</v>
      </c>
      <c r="B77" s="22" t="inlineStr">
        <is>
          <t>C54</t>
        </is>
      </c>
      <c r="C77" s="17" t="inlineStr">
        <is>
          <t>&lt;=</t>
        </is>
      </c>
      <c r="D77" s="22" t="inlineStr">
        <is>
          <t>F54</t>
        </is>
      </c>
      <c r="E77" s="16" t="inlineStr">
        <is>
          <t>Capacidade LA</t>
        </is>
      </c>
    </row>
    <row r="78">
      <c r="A78" s="18" t="n">
        <v>6</v>
      </c>
      <c r="B78" s="22" t="inlineStr">
        <is>
          <t>C55</t>
        </is>
      </c>
      <c r="C78" s="17" t="inlineStr">
        <is>
          <t>&lt;=</t>
        </is>
      </c>
      <c r="D78" s="22" t="inlineStr">
        <is>
          <t>F55</t>
        </is>
      </c>
      <c r="E78" s="16" t="inlineStr">
        <is>
          <t>Capacidade Chicago</t>
        </is>
      </c>
    </row>
    <row r="79">
      <c r="A79" s="18" t="n">
        <v>7</v>
      </c>
      <c r="B79" s="22" t="inlineStr">
        <is>
          <t>C56</t>
        </is>
      </c>
      <c r="C79" s="17" t="inlineStr">
        <is>
          <t>&lt;=</t>
        </is>
      </c>
      <c r="D79" s="22" t="inlineStr">
        <is>
          <t>F56</t>
        </is>
      </c>
      <c r="E79" s="16" t="inlineStr">
        <is>
          <t>Capacidade Atlanta</t>
        </is>
      </c>
    </row>
    <row r="80">
      <c r="A80" s="18" t="n">
        <v>8</v>
      </c>
      <c r="B80" s="22" t="inlineStr">
        <is>
          <t>C57</t>
        </is>
      </c>
      <c r="C80" s="17" t="inlineStr">
        <is>
          <t>&lt;=</t>
        </is>
      </c>
      <c r="D80" s="22" t="inlineStr">
        <is>
          <t>F57</t>
        </is>
      </c>
      <c r="E80" s="16" t="inlineStr">
        <is>
          <t>NY implica LA</t>
        </is>
      </c>
    </row>
    <row r="81">
      <c r="A81" s="18" t="n">
        <v>9</v>
      </c>
      <c r="B81" s="22" t="inlineStr">
        <is>
          <t>C58</t>
        </is>
      </c>
      <c r="C81" s="17" t="inlineStr">
        <is>
          <t>&lt;=</t>
        </is>
      </c>
      <c r="D81" s="22" t="inlineStr">
        <is>
          <t>F58</t>
        </is>
      </c>
      <c r="E81" s="16" t="inlineStr">
        <is>
          <t>Máx 2 armazéns</t>
        </is>
      </c>
    </row>
    <row r="82">
      <c r="A82" s="18" t="n">
        <v>10</v>
      </c>
      <c r="B82" s="22" t="inlineStr">
        <is>
          <t>C59</t>
        </is>
      </c>
      <c r="C82" s="17" t="inlineStr">
        <is>
          <t>&gt;=</t>
        </is>
      </c>
      <c r="D82" s="22" t="inlineStr">
        <is>
          <t>F59</t>
        </is>
      </c>
      <c r="E82" s="16" t="inlineStr">
        <is>
          <t>ATL ou LA</t>
        </is>
      </c>
    </row>
    <row r="83">
      <c r="A83" s="18" t="n">
        <v>11</v>
      </c>
      <c r="B83" s="22" t="inlineStr">
        <is>
          <t>A31:D31</t>
        </is>
      </c>
      <c r="C83" s="17" t="inlineStr">
        <is>
          <t>bin</t>
        </is>
      </c>
      <c r="D83" s="22" t="inlineStr">
        <is>
          <t>—</t>
        </is>
      </c>
      <c r="E83" s="16" t="inlineStr">
        <is>
          <t>Variáveis binárias</t>
        </is>
      </c>
    </row>
    <row r="84">
      <c r="A84" s="18" t="n">
        <v>12</v>
      </c>
      <c r="B84" s="22" t="inlineStr">
        <is>
          <t>B35:D38</t>
        </is>
      </c>
      <c r="C84" s="17" t="inlineStr">
        <is>
          <t>&gt;=</t>
        </is>
      </c>
      <c r="D84" s="22" t="inlineStr">
        <is>
          <t>0</t>
        </is>
      </c>
      <c r="E84" s="16" t="inlineStr">
        <is>
          <t>Não-negatividade</t>
        </is>
      </c>
    </row>
    <row r="86">
      <c r="A86" s="20" t="inlineStr">
        <is>
          <t>PASSO 6:</t>
        </is>
      </c>
      <c r="B86" s="4" t="inlineStr">
        <is>
          <t>Selecionar Método de Resolução: 'Simplex LP'</t>
        </is>
      </c>
    </row>
    <row r="87">
      <c r="A87" s="20" t="inlineStr">
        <is>
          <t>PASSO 7:</t>
        </is>
      </c>
      <c r="B87" s="21" t="inlineStr">
        <is>
          <t>Marcar 'Tornar Variáveis Irrestritas Não Negativas' ✓</t>
        </is>
      </c>
    </row>
    <row r="88">
      <c r="A88" s="20" t="inlineStr">
        <is>
          <t>PASSO 8:</t>
        </is>
      </c>
      <c r="B88" s="21" t="inlineStr">
        <is>
          <t>Clicar 'Resolver' → 'Manter Solução do Solver' → OK</t>
        </is>
      </c>
    </row>
    <row r="90">
      <c r="A90" s="23" t="inlineStr">
        <is>
          <t>NOTA:</t>
        </is>
      </c>
      <c r="B90" s="24" t="inlineStr">
        <is>
          <t>O Excel usa Simplex LP com Branch &amp; Bound interno para variáveis binárias (inteiras). Não é necessário selecionar outro método — o Simplex LP do Solver trata binárias automaticamente.</t>
        </is>
      </c>
    </row>
    <row r="91"/>
    <row r="93">
      <c r="A93" s="2" t="inlineStr">
        <is>
          <t>6. RESPOSTA POR EXTENSO</t>
        </is>
      </c>
      <c r="B93" s="3" t="n"/>
      <c r="C93" s="3" t="n"/>
      <c r="D93" s="3" t="n"/>
      <c r="E93" s="3" t="n"/>
      <c r="F93" s="3" t="n"/>
      <c r="G93" s="3" t="n"/>
      <c r="H93" s="3" t="n"/>
    </row>
    <row r="95">
      <c r="A95" s="25" t="inlineStr">
        <is>
          <t>SOLUÇÃO ÓTIMA — Custo Total Mínimo: $751,000
Armazéns abertos: LA, Chicago
Armazéns fechados: NY, Atlanta
Distribuição ótima (armazém → região → quantidade):
  • LA → Região 2: 8,000 unidades (custo unit.: $27)
  • LA → Região 3: 7,000 unidades (custo unit.: $27)
  • Chicago → Região 1: 8,000 unidades (custo unit.: $28)
  • Chicago → Região 2: 1,000 unidades (custo unit.: $32)
Verificação das restrições lógicas:
  • NY aberto? Não, LA aberto? Sim → NY→LA: OK
  • Total armazéns abertos: 2 ≤ 2 → OK
  • ATL ou LA aberto? y_ATL+y_LA = 1 ≥ 1 → OK</t>
        </is>
      </c>
    </row>
    <row r="96"/>
    <row r="97"/>
    <row r="98"/>
    <row r="99"/>
    <row r="100"/>
    <row r="101"/>
    <row r="102"/>
    <row r="103"/>
    <row r="104"/>
    <row r="105"/>
    <row r="106"/>
    <row r="107"/>
    <row r="108"/>
    <row r="109"/>
  </sheetData>
  <mergeCells count="17">
    <mergeCell ref="B66:H66"/>
    <mergeCell ref="A3:H3"/>
    <mergeCell ref="B88:H88"/>
    <mergeCell ref="B65:H65"/>
    <mergeCell ref="B68:H68"/>
    <mergeCell ref="A63:H63"/>
    <mergeCell ref="B90:H91"/>
    <mergeCell ref="B69:H69"/>
    <mergeCell ref="B87:H87"/>
    <mergeCell ref="A41:H41"/>
    <mergeCell ref="B86:H86"/>
    <mergeCell ref="A95:H109"/>
    <mergeCell ref="A47:H47"/>
    <mergeCell ref="A1:H1"/>
    <mergeCell ref="A93:H93"/>
    <mergeCell ref="A27:H27"/>
    <mergeCell ref="B67:H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QUIZ 4 — Distribuição de Veículos (PL - Fluxo em Rede)</t>
        </is>
      </c>
    </row>
    <row r="3">
      <c r="A3" s="2" t="inlineStr">
        <is>
          <t>1. DADOS DO PROBLEMA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5">
      <c r="A5" s="4" t="inlineStr">
        <is>
          <t>Arcos da Rede — Custos Padrão e Ajustados por Tipo de Veículo</t>
        </is>
      </c>
    </row>
    <row r="6">
      <c r="A6" s="5" t="inlineStr">
        <is>
          <t>#</t>
        </is>
      </c>
      <c r="B6" s="5" t="inlineStr">
        <is>
          <t>De</t>
        </is>
      </c>
      <c r="C6" s="5" t="inlineStr">
        <is>
          <t>Para</t>
        </is>
      </c>
      <c r="D6" s="5" t="inlineStr">
        <is>
          <t>Custo Padrão ($)</t>
        </is>
      </c>
      <c r="E6" s="5" t="inlineStr">
        <is>
          <t>Custo Minivan (×1.15)</t>
        </is>
      </c>
      <c r="F6" s="5" t="inlineStr">
        <is>
          <t>Custo Esportivo (×0.90)</t>
        </is>
      </c>
    </row>
    <row r="7">
      <c r="A7" s="18" t="n">
        <v>1</v>
      </c>
      <c r="B7" s="26" t="inlineStr">
        <is>
          <t>Porto 1</t>
        </is>
      </c>
      <c r="C7" s="26" t="inlineStr">
        <is>
          <t>Distrib. 1</t>
        </is>
      </c>
      <c r="D7" s="27" t="n">
        <v>100</v>
      </c>
      <c r="E7" s="28">
        <f>D7*1.15</f>
        <v/>
      </c>
      <c r="F7" s="28">
        <f>D7*0.9</f>
        <v/>
      </c>
    </row>
    <row r="8">
      <c r="A8" s="18" t="n">
        <v>2</v>
      </c>
      <c r="B8" s="26" t="inlineStr">
        <is>
          <t>Porto 1</t>
        </is>
      </c>
      <c r="C8" s="26" t="inlineStr">
        <is>
          <t>Revenda 3</t>
        </is>
      </c>
      <c r="D8" s="27" t="n">
        <v>300</v>
      </c>
      <c r="E8" s="28">
        <f>D8*1.15</f>
        <v/>
      </c>
      <c r="F8" s="28">
        <f>D8*0.9</f>
        <v/>
      </c>
    </row>
    <row r="9">
      <c r="A9" s="18" t="n">
        <v>3</v>
      </c>
      <c r="B9" s="26" t="inlineStr">
        <is>
          <t>Porto 1</t>
        </is>
      </c>
      <c r="C9" s="26" t="inlineStr">
        <is>
          <t>Distrib. 2</t>
        </is>
      </c>
      <c r="D9" s="27" t="n">
        <v>130</v>
      </c>
      <c r="E9" s="28">
        <f>D9*1.15</f>
        <v/>
      </c>
      <c r="F9" s="28">
        <f>D9*0.9</f>
        <v/>
      </c>
    </row>
    <row r="10">
      <c r="A10" s="18" t="n">
        <v>4</v>
      </c>
      <c r="B10" s="26" t="inlineStr">
        <is>
          <t>Porto 2</t>
        </is>
      </c>
      <c r="C10" s="26" t="inlineStr">
        <is>
          <t>Distrib. 1</t>
        </is>
      </c>
      <c r="D10" s="27" t="n">
        <v>150</v>
      </c>
      <c r="E10" s="28">
        <f>D10*1.15</f>
        <v/>
      </c>
      <c r="F10" s="28">
        <f>D10*0.9</f>
        <v/>
      </c>
    </row>
    <row r="11">
      <c r="A11" s="18" t="n">
        <v>5</v>
      </c>
      <c r="B11" s="26" t="inlineStr">
        <is>
          <t>Porto 2</t>
        </is>
      </c>
      <c r="C11" s="26" t="inlineStr">
        <is>
          <t>Revenda 2</t>
        </is>
      </c>
      <c r="D11" s="27" t="n">
        <v>300</v>
      </c>
      <c r="E11" s="28">
        <f>D11*1.15</f>
        <v/>
      </c>
      <c r="F11" s="28">
        <f>D11*0.9</f>
        <v/>
      </c>
    </row>
    <row r="12">
      <c r="A12" s="18" t="n">
        <v>6</v>
      </c>
      <c r="B12" s="26" t="inlineStr">
        <is>
          <t>Porto 2</t>
        </is>
      </c>
      <c r="C12" s="26" t="inlineStr">
        <is>
          <t>Distrib. 2</t>
        </is>
      </c>
      <c r="D12" s="27" t="n">
        <v>120</v>
      </c>
      <c r="E12" s="28">
        <f>D12*1.15</f>
        <v/>
      </c>
      <c r="F12" s="28">
        <f>D12*0.9</f>
        <v/>
      </c>
    </row>
    <row r="13">
      <c r="A13" s="18" t="n">
        <v>7</v>
      </c>
      <c r="B13" s="26" t="inlineStr">
        <is>
          <t>Distrib. 1</t>
        </is>
      </c>
      <c r="C13" s="26" t="inlineStr">
        <is>
          <t>Revenda 3</t>
        </is>
      </c>
      <c r="D13" s="27" t="n">
        <v>160</v>
      </c>
      <c r="E13" s="28">
        <f>D13*1.15</f>
        <v/>
      </c>
      <c r="F13" s="28">
        <f>D13*0.9</f>
        <v/>
      </c>
    </row>
    <row r="14">
      <c r="A14" s="18" t="n">
        <v>8</v>
      </c>
      <c r="B14" s="26" t="inlineStr">
        <is>
          <t>Distrib. 1</t>
        </is>
      </c>
      <c r="C14" s="26" t="inlineStr">
        <is>
          <t>Revenda 2</t>
        </is>
      </c>
      <c r="D14" s="27" t="n">
        <v>170</v>
      </c>
      <c r="E14" s="28">
        <f>D14*1.15</f>
        <v/>
      </c>
      <c r="F14" s="28">
        <f>D14*0.9</f>
        <v/>
      </c>
    </row>
    <row r="15">
      <c r="A15" s="18" t="n">
        <v>9</v>
      </c>
      <c r="B15" s="26" t="inlineStr">
        <is>
          <t>Distrib. 1</t>
        </is>
      </c>
      <c r="C15" s="26" t="inlineStr">
        <is>
          <t>Distrib. 2</t>
        </is>
      </c>
      <c r="D15" s="27" t="n">
        <v>280</v>
      </c>
      <c r="E15" s="28">
        <f>D15*1.15</f>
        <v/>
      </c>
      <c r="F15" s="28">
        <f>D15*0.9</f>
        <v/>
      </c>
    </row>
    <row r="16">
      <c r="A16" s="18" t="n">
        <v>10</v>
      </c>
      <c r="B16" s="26" t="inlineStr">
        <is>
          <t>Distrib. 2</t>
        </is>
      </c>
      <c r="C16" s="26" t="inlineStr">
        <is>
          <t>Revenda 3</t>
        </is>
      </c>
      <c r="D16" s="27" t="n">
        <v>140</v>
      </c>
      <c r="E16" s="28">
        <f>D16*1.15</f>
        <v/>
      </c>
      <c r="F16" s="28">
        <f>D16*0.9</f>
        <v/>
      </c>
    </row>
    <row r="17">
      <c r="A17" s="18" t="n">
        <v>11</v>
      </c>
      <c r="B17" s="26" t="inlineStr">
        <is>
          <t>Distrib. 2</t>
        </is>
      </c>
      <c r="C17" s="26" t="inlineStr">
        <is>
          <t>Revenda 2</t>
        </is>
      </c>
      <c r="D17" s="27" t="n">
        <v>160</v>
      </c>
      <c r="E17" s="28">
        <f>D17*1.15</f>
        <v/>
      </c>
      <c r="F17" s="28">
        <f>D17*0.9</f>
        <v/>
      </c>
    </row>
    <row r="18">
      <c r="A18" s="18" t="n">
        <v>12</v>
      </c>
      <c r="B18" s="26" t="inlineStr">
        <is>
          <t>Revenda 3</t>
        </is>
      </c>
      <c r="C18" s="26" t="inlineStr">
        <is>
          <t>Revenda 2</t>
        </is>
      </c>
      <c r="D18" s="27" t="n">
        <v>150</v>
      </c>
      <c r="E18" s="28">
        <f>D18*1.15</f>
        <v/>
      </c>
      <c r="F18" s="28">
        <f>D18*0.9</f>
        <v/>
      </c>
    </row>
    <row r="20">
      <c r="A20" s="4" t="inlineStr">
        <is>
          <t>Oferta (Portos)</t>
        </is>
      </c>
    </row>
    <row r="21">
      <c r="A21" s="5" t="inlineStr">
        <is>
          <t>Porto</t>
        </is>
      </c>
      <c r="B21" s="5" t="inlineStr">
        <is>
          <t>Minivan</t>
        </is>
      </c>
      <c r="C21" s="5" t="inlineStr">
        <is>
          <t>Esportivo</t>
        </is>
      </c>
    </row>
    <row r="22">
      <c r="A22" s="26" t="inlineStr">
        <is>
          <t>Porto 1</t>
        </is>
      </c>
      <c r="B22" s="29" t="n">
        <v>325</v>
      </c>
      <c r="C22" s="29" t="n">
        <v>450</v>
      </c>
    </row>
    <row r="23">
      <c r="A23" s="26" t="inlineStr">
        <is>
          <t>Porto 2</t>
        </is>
      </c>
      <c r="B23" s="29" t="n">
        <v>430</v>
      </c>
      <c r="C23" s="29" t="n">
        <v>300</v>
      </c>
    </row>
    <row r="25">
      <c r="A25" s="4" t="inlineStr">
        <is>
          <t>Demanda (Revendas)</t>
        </is>
      </c>
    </row>
    <row r="26">
      <c r="A26" s="5" t="inlineStr">
        <is>
          <t>Revenda</t>
        </is>
      </c>
      <c r="B26" s="5" t="inlineStr">
        <is>
          <t>Minivan</t>
        </is>
      </c>
      <c r="C26" s="5" t="inlineStr">
        <is>
          <t>Esportivo</t>
        </is>
      </c>
    </row>
    <row r="27">
      <c r="A27" s="26" t="inlineStr">
        <is>
          <t>Revenda 3</t>
        </is>
      </c>
      <c r="B27" s="29" t="n">
        <v>477</v>
      </c>
      <c r="C27" s="29" t="n">
        <v>227</v>
      </c>
    </row>
    <row r="28">
      <c r="A28" s="26" t="inlineStr">
        <is>
          <t>Revenda 2</t>
        </is>
      </c>
      <c r="B28" s="29" t="n">
        <v>278</v>
      </c>
      <c r="C28" s="29" t="n">
        <v>523</v>
      </c>
    </row>
    <row r="31">
      <c r="A31" s="2" t="inlineStr">
        <is>
          <t>2. VARIÁVEIS DE DECISÃO — Fluxo por Arco (células que o Solver altera)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3">
      <c r="A33" s="4" t="inlineStr">
        <is>
          <t>Arco / Tipo de Veículo → Quantidades de Fluxo (variáveis) e Custos (fórmulas)</t>
        </is>
      </c>
    </row>
    <row r="34">
      <c r="A34" s="5" t="inlineStr">
        <is>
          <t>#</t>
        </is>
      </c>
      <c r="B34" s="5" t="inlineStr">
        <is>
          <t>De</t>
        </is>
      </c>
      <c r="C34" s="5" t="inlineStr">
        <is>
          <t>Para</t>
        </is>
      </c>
      <c r="D34" s="5" t="inlineStr">
        <is>
          <t>Fluxo Minivan</t>
        </is>
      </c>
      <c r="E34" s="5" t="inlineStr">
        <is>
          <t>Fluxo Esportivo</t>
        </is>
      </c>
      <c r="F34" s="5" t="inlineStr">
        <is>
          <t>Fluxo Total</t>
        </is>
      </c>
      <c r="G34" s="5" t="inlineStr">
        <is>
          <t>Custo Minivan ($)</t>
        </is>
      </c>
      <c r="H34" s="5" t="inlineStr">
        <is>
          <t>Custo Esportivo ($)</t>
        </is>
      </c>
      <c r="I34" s="5" t="inlineStr">
        <is>
          <t>Custo Total Arco ($)</t>
        </is>
      </c>
    </row>
    <row r="35">
      <c r="A35" s="18" t="n">
        <v>1</v>
      </c>
      <c r="B35" s="30" t="inlineStr">
        <is>
          <t>Porto 1</t>
        </is>
      </c>
      <c r="C35" s="30" t="inlineStr">
        <is>
          <t>Distrib. 1</t>
        </is>
      </c>
      <c r="D35" s="11" t="n">
        <v>325</v>
      </c>
      <c r="E35" s="11" t="n">
        <v>450</v>
      </c>
      <c r="F35" s="12">
        <f>D35+E35</f>
        <v/>
      </c>
      <c r="G35" s="13">
        <f>D35*D7*1.15</f>
        <v/>
      </c>
      <c r="H35" s="13">
        <f>E35*D7*0.9</f>
        <v/>
      </c>
      <c r="I35" s="13">
        <f>G35+H35</f>
        <v/>
      </c>
    </row>
    <row r="36">
      <c r="A36" s="18" t="n">
        <v>2</v>
      </c>
      <c r="B36" s="30" t="inlineStr">
        <is>
          <t>Porto 1</t>
        </is>
      </c>
      <c r="C36" s="30" t="inlineStr">
        <is>
          <t>Revenda 3</t>
        </is>
      </c>
      <c r="D36" s="11" t="n">
        <v>0</v>
      </c>
      <c r="E36" s="11" t="n">
        <v>0</v>
      </c>
      <c r="F36" s="12">
        <f>D36+E36</f>
        <v/>
      </c>
      <c r="G36" s="13">
        <f>D36*D8*1.15</f>
        <v/>
      </c>
      <c r="H36" s="13">
        <f>E36*D8*0.9</f>
        <v/>
      </c>
      <c r="I36" s="13">
        <f>G36+H36</f>
        <v/>
      </c>
    </row>
    <row r="37">
      <c r="A37" s="18" t="n">
        <v>3</v>
      </c>
      <c r="B37" s="30" t="inlineStr">
        <is>
          <t>Porto 1</t>
        </is>
      </c>
      <c r="C37" s="30" t="inlineStr">
        <is>
          <t>Distrib. 2</t>
        </is>
      </c>
      <c r="D37" s="11" t="n">
        <v>0</v>
      </c>
      <c r="E37" s="11" t="n">
        <v>0</v>
      </c>
      <c r="F37" s="12">
        <f>D37+E37</f>
        <v/>
      </c>
      <c r="G37" s="13">
        <f>D37*D9*1.15</f>
        <v/>
      </c>
      <c r="H37" s="13">
        <f>E37*D9*0.9</f>
        <v/>
      </c>
      <c r="I37" s="13">
        <f>G37+H37</f>
        <v/>
      </c>
    </row>
    <row r="38">
      <c r="A38" s="18" t="n">
        <v>4</v>
      </c>
      <c r="B38" s="30" t="inlineStr">
        <is>
          <t>Porto 2</t>
        </is>
      </c>
      <c r="C38" s="30" t="inlineStr">
        <is>
          <t>Distrib. 1</t>
        </is>
      </c>
      <c r="D38" s="11" t="n">
        <v>0</v>
      </c>
      <c r="E38" s="11" t="n">
        <v>0</v>
      </c>
      <c r="F38" s="12">
        <f>D38+E38</f>
        <v/>
      </c>
      <c r="G38" s="13">
        <f>D38*D10*1.15</f>
        <v/>
      </c>
      <c r="H38" s="13">
        <f>E38*D10*0.9</f>
        <v/>
      </c>
      <c r="I38" s="13">
        <f>G38+H38</f>
        <v/>
      </c>
    </row>
    <row r="39">
      <c r="A39" s="18" t="n">
        <v>5</v>
      </c>
      <c r="B39" s="30" t="inlineStr">
        <is>
          <t>Porto 2</t>
        </is>
      </c>
      <c r="C39" s="30" t="inlineStr">
        <is>
          <t>Revenda 2</t>
        </is>
      </c>
      <c r="D39" s="11" t="n">
        <v>0</v>
      </c>
      <c r="E39" s="11" t="n">
        <v>0</v>
      </c>
      <c r="F39" s="12">
        <f>D39+E39</f>
        <v/>
      </c>
      <c r="G39" s="13">
        <f>D39*D11*1.15</f>
        <v/>
      </c>
      <c r="H39" s="13">
        <f>E39*D11*0.9</f>
        <v/>
      </c>
      <c r="I39" s="13">
        <f>G39+H39</f>
        <v/>
      </c>
    </row>
    <row r="40">
      <c r="A40" s="18" t="n">
        <v>6</v>
      </c>
      <c r="B40" s="30" t="inlineStr">
        <is>
          <t>Porto 2</t>
        </is>
      </c>
      <c r="C40" s="30" t="inlineStr">
        <is>
          <t>Distrib. 2</t>
        </is>
      </c>
      <c r="D40" s="11" t="n">
        <v>430</v>
      </c>
      <c r="E40" s="11" t="n">
        <v>300</v>
      </c>
      <c r="F40" s="12">
        <f>D40+E40</f>
        <v/>
      </c>
      <c r="G40" s="13">
        <f>D40*D12*1.15</f>
        <v/>
      </c>
      <c r="H40" s="13">
        <f>E40*D12*0.9</f>
        <v/>
      </c>
      <c r="I40" s="13">
        <f>G40+H40</f>
        <v/>
      </c>
    </row>
    <row r="41">
      <c r="A41" s="18" t="n">
        <v>7</v>
      </c>
      <c r="B41" s="30" t="inlineStr">
        <is>
          <t>Distrib. 1</t>
        </is>
      </c>
      <c r="C41" s="30" t="inlineStr">
        <is>
          <t>Revenda 3</t>
        </is>
      </c>
      <c r="D41" s="11" t="n">
        <v>47</v>
      </c>
      <c r="E41" s="11" t="n">
        <v>0</v>
      </c>
      <c r="F41" s="12">
        <f>D41+E41</f>
        <v/>
      </c>
      <c r="G41" s="13">
        <f>D41*D13*1.15</f>
        <v/>
      </c>
      <c r="H41" s="13">
        <f>E41*D13*0.9</f>
        <v/>
      </c>
      <c r="I41" s="13">
        <f>G41+H41</f>
        <v/>
      </c>
    </row>
    <row r="42">
      <c r="A42" s="18" t="n">
        <v>8</v>
      </c>
      <c r="B42" s="30" t="inlineStr">
        <is>
          <t>Distrib. 1</t>
        </is>
      </c>
      <c r="C42" s="30" t="inlineStr">
        <is>
          <t>Revenda 2</t>
        </is>
      </c>
      <c r="D42" s="11" t="n">
        <v>278</v>
      </c>
      <c r="E42" s="11" t="n">
        <v>450</v>
      </c>
      <c r="F42" s="12">
        <f>D42+E42</f>
        <v/>
      </c>
      <c r="G42" s="13">
        <f>D42*D14*1.15</f>
        <v/>
      </c>
      <c r="H42" s="13">
        <f>E42*D14*0.9</f>
        <v/>
      </c>
      <c r="I42" s="13">
        <f>G42+H42</f>
        <v/>
      </c>
    </row>
    <row r="43">
      <c r="A43" s="18" t="n">
        <v>9</v>
      </c>
      <c r="B43" s="30" t="inlineStr">
        <is>
          <t>Distrib. 1</t>
        </is>
      </c>
      <c r="C43" s="30" t="inlineStr">
        <is>
          <t>Distrib. 2</t>
        </is>
      </c>
      <c r="D43" s="11" t="n">
        <v>0</v>
      </c>
      <c r="E43" s="11" t="n">
        <v>0</v>
      </c>
      <c r="F43" s="12">
        <f>D43+E43</f>
        <v/>
      </c>
      <c r="G43" s="13">
        <f>D43*D15*1.15</f>
        <v/>
      </c>
      <c r="H43" s="13">
        <f>E43*D15*0.9</f>
        <v/>
      </c>
      <c r="I43" s="13">
        <f>G43+H43</f>
        <v/>
      </c>
    </row>
    <row r="44">
      <c r="A44" s="18" t="n">
        <v>10</v>
      </c>
      <c r="B44" s="30" t="inlineStr">
        <is>
          <t>Distrib. 2</t>
        </is>
      </c>
      <c r="C44" s="30" t="inlineStr">
        <is>
          <t>Revenda 3</t>
        </is>
      </c>
      <c r="D44" s="11" t="n">
        <v>430</v>
      </c>
      <c r="E44" s="11" t="n">
        <v>227</v>
      </c>
      <c r="F44" s="12">
        <f>D44+E44</f>
        <v/>
      </c>
      <c r="G44" s="13">
        <f>D44*D16*1.15</f>
        <v/>
      </c>
      <c r="H44" s="13">
        <f>E44*D16*0.9</f>
        <v/>
      </c>
      <c r="I44" s="13">
        <f>G44+H44</f>
        <v/>
      </c>
    </row>
    <row r="45">
      <c r="A45" s="18" t="n">
        <v>11</v>
      </c>
      <c r="B45" s="30" t="inlineStr">
        <is>
          <t>Distrib. 2</t>
        </is>
      </c>
      <c r="C45" s="30" t="inlineStr">
        <is>
          <t>Revenda 2</t>
        </is>
      </c>
      <c r="D45" s="11" t="n">
        <v>0</v>
      </c>
      <c r="E45" s="11" t="n">
        <v>73</v>
      </c>
      <c r="F45" s="12">
        <f>D45+E45</f>
        <v/>
      </c>
      <c r="G45" s="13">
        <f>D45*D17*1.15</f>
        <v/>
      </c>
      <c r="H45" s="13">
        <f>E45*D17*0.9</f>
        <v/>
      </c>
      <c r="I45" s="13">
        <f>G45+H45</f>
        <v/>
      </c>
    </row>
    <row r="46">
      <c r="A46" s="18" t="n">
        <v>12</v>
      </c>
      <c r="B46" s="30" t="inlineStr">
        <is>
          <t>Revenda 3</t>
        </is>
      </c>
      <c r="C46" s="30" t="inlineStr">
        <is>
          <t>Revenda 2</t>
        </is>
      </c>
      <c r="D46" s="11" t="n">
        <v>0</v>
      </c>
      <c r="E46" s="11" t="n">
        <v>0</v>
      </c>
      <c r="F46" s="12">
        <f>D46+E46</f>
        <v/>
      </c>
      <c r="G46" s="13">
        <f>D46*D18*1.15</f>
        <v/>
      </c>
      <c r="H46" s="13">
        <f>E46*D18*0.9</f>
        <v/>
      </c>
      <c r="I46" s="13">
        <f>G46+H46</f>
        <v/>
      </c>
    </row>
    <row r="48">
      <c r="A48" s="2" t="inlineStr">
        <is>
          <t>3. FUNÇÃO OBJETIVO — Minimizar Custo Total de Transporte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50">
      <c r="A50" s="14" t="inlineStr">
        <is>
          <t>▶ CUSTO TOTAL (Célula Objetivo):</t>
        </is>
      </c>
      <c r="B50" s="31">
        <f>SUM(I35:I46)</f>
        <v/>
      </c>
    </row>
    <row r="52">
      <c r="A52" s="2" t="inlineStr">
        <is>
          <t>4. RESTRIÇÕES (LHS e RHS para o Solver)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4">
      <c r="A54" s="5" t="inlineStr">
        <is>
          <t>Descrição</t>
        </is>
      </c>
      <c r="B54" s="5" t="inlineStr">
        <is>
          <t>Célula LHS</t>
        </is>
      </c>
      <c r="C54" s="5" t="inlineStr">
        <is>
          <t>Fórmula LHS</t>
        </is>
      </c>
      <c r="D54" s="5" t="inlineStr">
        <is>
          <t>Sinal</t>
        </is>
      </c>
      <c r="E54" s="5" t="inlineStr">
        <is>
          <t>Célula RHS</t>
        </is>
      </c>
      <c r="F54" s="5" t="inlineStr">
        <is>
          <t>Valor RHS</t>
        </is>
      </c>
      <c r="G54" s="5" t="inlineStr">
        <is>
          <t>Status</t>
        </is>
      </c>
    </row>
    <row r="55">
      <c r="A55" s="16" t="inlineStr">
        <is>
          <t>Conservação Distrib. 1 (Minivan)</t>
        </is>
      </c>
      <c r="B55" s="6" t="inlineStr">
        <is>
          <t>C55</t>
        </is>
      </c>
      <c r="C55" s="12">
        <f>D35+D38-(D41+D42+D43)</f>
        <v/>
      </c>
      <c r="D55" s="17" t="inlineStr">
        <is>
          <t>=</t>
        </is>
      </c>
      <c r="E55" s="6" t="inlineStr">
        <is>
          <t>F55</t>
        </is>
      </c>
      <c r="F55" s="8" t="n">
        <v>0</v>
      </c>
      <c r="G55" s="18">
        <f>IF(ABS(C55-F55)&lt;0.01,"OK","VIOLA")</f>
        <v/>
      </c>
    </row>
    <row r="56">
      <c r="A56" s="16" t="inlineStr">
        <is>
          <t>Conservação Distrib. 1 (Esportivo)</t>
        </is>
      </c>
      <c r="B56" s="6" t="inlineStr">
        <is>
          <t>C56</t>
        </is>
      </c>
      <c r="C56" s="12">
        <f>E35+E38-(E41+E42+E43)</f>
        <v/>
      </c>
      <c r="D56" s="17" t="inlineStr">
        <is>
          <t>=</t>
        </is>
      </c>
      <c r="E56" s="6" t="inlineStr">
        <is>
          <t>F56</t>
        </is>
      </c>
      <c r="F56" s="8" t="n">
        <v>0</v>
      </c>
      <c r="G56" s="18">
        <f>IF(ABS(C56-F56)&lt;0.01,"OK","VIOLA")</f>
        <v/>
      </c>
    </row>
    <row r="57">
      <c r="A57" s="16" t="inlineStr">
        <is>
          <t>Conservação Distrib. 2 (Minivan)</t>
        </is>
      </c>
      <c r="B57" s="6" t="inlineStr">
        <is>
          <t>C57</t>
        </is>
      </c>
      <c r="C57" s="12">
        <f>D37+D40+D43-(D44+D45)</f>
        <v/>
      </c>
      <c r="D57" s="17" t="inlineStr">
        <is>
          <t>=</t>
        </is>
      </c>
      <c r="E57" s="6" t="inlineStr">
        <is>
          <t>F57</t>
        </is>
      </c>
      <c r="F57" s="8" t="n">
        <v>0</v>
      </c>
      <c r="G57" s="18">
        <f>IF(ABS(C57-F57)&lt;0.01,"OK","VIOLA")</f>
        <v/>
      </c>
    </row>
    <row r="58">
      <c r="A58" s="16" t="inlineStr">
        <is>
          <t>Conservação Distrib. 2 (Esportivo)</t>
        </is>
      </c>
      <c r="B58" s="6" t="inlineStr">
        <is>
          <t>C58</t>
        </is>
      </c>
      <c r="C58" s="12">
        <f>E37+E40+E43-(E44+E45)</f>
        <v/>
      </c>
      <c r="D58" s="17" t="inlineStr">
        <is>
          <t>=</t>
        </is>
      </c>
      <c r="E58" s="6" t="inlineStr">
        <is>
          <t>F58</t>
        </is>
      </c>
      <c r="F58" s="8" t="n">
        <v>0</v>
      </c>
      <c r="G58" s="18">
        <f>IF(ABS(C58-F58)&lt;0.01,"OK","VIOLA")</f>
        <v/>
      </c>
    </row>
    <row r="59">
      <c r="A59" s="16" t="inlineStr">
        <is>
          <t>Oferta Porto 1 (Minivan)</t>
        </is>
      </c>
      <c r="B59" s="6" t="inlineStr">
        <is>
          <t>C59</t>
        </is>
      </c>
      <c r="C59" s="12">
        <f>D35+D36+D37</f>
        <v/>
      </c>
      <c r="D59" s="17" t="inlineStr">
        <is>
          <t>&lt;=</t>
        </is>
      </c>
      <c r="E59" s="6" t="inlineStr">
        <is>
          <t>F59</t>
        </is>
      </c>
      <c r="F59" s="8" t="n">
        <v>325</v>
      </c>
      <c r="G59" s="18">
        <f>IF(C59&lt;=F59,"OK","VIOLA")</f>
        <v/>
      </c>
    </row>
    <row r="60">
      <c r="A60" s="16" t="inlineStr">
        <is>
          <t>Oferta Porto 1 (Esportivo)</t>
        </is>
      </c>
      <c r="B60" s="6" t="inlineStr">
        <is>
          <t>C60</t>
        </is>
      </c>
      <c r="C60" s="12">
        <f>E35+E36+E37</f>
        <v/>
      </c>
      <c r="D60" s="17" t="inlineStr">
        <is>
          <t>&lt;=</t>
        </is>
      </c>
      <c r="E60" s="6" t="inlineStr">
        <is>
          <t>F60</t>
        </is>
      </c>
      <c r="F60" s="8" t="n">
        <v>450</v>
      </c>
      <c r="G60" s="18">
        <f>IF(C60&lt;=F60,"OK","VIOLA")</f>
        <v/>
      </c>
    </row>
    <row r="61">
      <c r="A61" s="16" t="inlineStr">
        <is>
          <t>Oferta Porto 2 (Minivan)</t>
        </is>
      </c>
      <c r="B61" s="6" t="inlineStr">
        <is>
          <t>C61</t>
        </is>
      </c>
      <c r="C61" s="12">
        <f>D38+D39+D40</f>
        <v/>
      </c>
      <c r="D61" s="17" t="inlineStr">
        <is>
          <t>&lt;=</t>
        </is>
      </c>
      <c r="E61" s="6" t="inlineStr">
        <is>
          <t>F61</t>
        </is>
      </c>
      <c r="F61" s="8" t="n">
        <v>430</v>
      </c>
      <c r="G61" s="18">
        <f>IF(C61&lt;=F61,"OK","VIOLA")</f>
        <v/>
      </c>
    </row>
    <row r="62">
      <c r="A62" s="16" t="inlineStr">
        <is>
          <t>Oferta Porto 2 (Esportivo)</t>
        </is>
      </c>
      <c r="B62" s="6" t="inlineStr">
        <is>
          <t>C62</t>
        </is>
      </c>
      <c r="C62" s="12">
        <f>E38+E39+E40</f>
        <v/>
      </c>
      <c r="D62" s="17" t="inlineStr">
        <is>
          <t>&lt;=</t>
        </is>
      </c>
      <c r="E62" s="6" t="inlineStr">
        <is>
          <t>F62</t>
        </is>
      </c>
      <c r="F62" s="8" t="n">
        <v>300</v>
      </c>
      <c r="G62" s="18">
        <f>IF(C62&lt;=F62,"OK","VIOLA")</f>
        <v/>
      </c>
    </row>
    <row r="63">
      <c r="A63" s="16" t="inlineStr">
        <is>
          <t>Demanda Revenda 3 (Minivan)</t>
        </is>
      </c>
      <c r="B63" s="6" t="inlineStr">
        <is>
          <t>C63</t>
        </is>
      </c>
      <c r="C63" s="12">
        <f>D36+D41+D44-(D46)</f>
        <v/>
      </c>
      <c r="D63" s="17" t="inlineStr">
        <is>
          <t>&gt;=</t>
        </is>
      </c>
      <c r="E63" s="6" t="inlineStr">
        <is>
          <t>F63</t>
        </is>
      </c>
      <c r="F63" s="8" t="n">
        <v>477</v>
      </c>
      <c r="G63" s="18">
        <f>IF(C63&gt;=F63,"OK","VIOLA")</f>
        <v/>
      </c>
    </row>
    <row r="64">
      <c r="A64" s="16" t="inlineStr">
        <is>
          <t>Demanda Revenda 3 (Esportivo)</t>
        </is>
      </c>
      <c r="B64" s="6" t="inlineStr">
        <is>
          <t>C64</t>
        </is>
      </c>
      <c r="C64" s="12">
        <f>E36+E41+E44-(E46)</f>
        <v/>
      </c>
      <c r="D64" s="17" t="inlineStr">
        <is>
          <t>&gt;=</t>
        </is>
      </c>
      <c r="E64" s="6" t="inlineStr">
        <is>
          <t>F64</t>
        </is>
      </c>
      <c r="F64" s="8" t="n">
        <v>227</v>
      </c>
      <c r="G64" s="18">
        <f>IF(C64&gt;=F64,"OK","VIOLA")</f>
        <v/>
      </c>
    </row>
    <row r="65">
      <c r="A65" s="16" t="inlineStr">
        <is>
          <t>Demanda Revenda 2 (Minivan)</t>
        </is>
      </c>
      <c r="B65" s="6" t="inlineStr">
        <is>
          <t>C65</t>
        </is>
      </c>
      <c r="C65" s="12">
        <f>D39+D42+D45+D46-(0)</f>
        <v/>
      </c>
      <c r="D65" s="17" t="inlineStr">
        <is>
          <t>&gt;=</t>
        </is>
      </c>
      <c r="E65" s="6" t="inlineStr">
        <is>
          <t>F65</t>
        </is>
      </c>
      <c r="F65" s="8" t="n">
        <v>278</v>
      </c>
      <c r="G65" s="18">
        <f>IF(C65&gt;=F65,"OK","VIOLA")</f>
        <v/>
      </c>
    </row>
    <row r="66">
      <c r="A66" s="16" t="inlineStr">
        <is>
          <t>Demanda Revenda 2 (Esportivo)</t>
        </is>
      </c>
      <c r="B66" s="6" t="inlineStr">
        <is>
          <t>C66</t>
        </is>
      </c>
      <c r="C66" s="12">
        <f>E39+E42+E45+E46-(0)</f>
        <v/>
      </c>
      <c r="D66" s="17" t="inlineStr">
        <is>
          <t>&gt;=</t>
        </is>
      </c>
      <c r="E66" s="6" t="inlineStr">
        <is>
          <t>F66</t>
        </is>
      </c>
      <c r="F66" s="8" t="n">
        <v>523</v>
      </c>
      <c r="G66" s="18">
        <f>IF(C66&gt;=F66,"OK","VIOLA")</f>
        <v/>
      </c>
    </row>
    <row r="67">
      <c r="A67" s="19" t="inlineStr">
        <is>
          <t>f_ij_v ≥ 0 — Não-negatividade (todas variáveis)</t>
        </is>
      </c>
      <c r="B67" s="6" t="inlineStr">
        <is>
          <t>D35:E46</t>
        </is>
      </c>
      <c r="D67" s="17" t="inlineStr">
        <is>
          <t>&gt;=</t>
        </is>
      </c>
      <c r="F67" s="6" t="n">
        <v>0</v>
      </c>
    </row>
    <row r="69">
      <c r="A69" s="2" t="inlineStr">
        <is>
          <t>5. CONFIGURAÇÃO DO SOLVER — PASSO A PASSO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1">
      <c r="A71" s="20" t="inlineStr">
        <is>
          <t>PASSO 1:</t>
        </is>
      </c>
      <c r="B71" s="24" t="inlineStr">
        <is>
          <t>Abra a aba 'Dados' → clique em 'Solver' (canto superior direito)</t>
        </is>
      </c>
    </row>
    <row r="72">
      <c r="A72" s="20" t="inlineStr">
        <is>
          <t>PASSO 2:</t>
        </is>
      </c>
      <c r="B72" s="24" t="inlineStr">
        <is>
          <t>Definir Objetivo: selecione a célula B50 (custo total, fundo amarelo)</t>
        </is>
      </c>
    </row>
    <row r="73">
      <c r="A73" s="20" t="inlineStr">
        <is>
          <t>PASSO 3:</t>
        </is>
      </c>
      <c r="B73" s="24" t="inlineStr">
        <is>
          <t>Para: selecione 'Mín' (minimizar)</t>
        </is>
      </c>
    </row>
    <row r="74">
      <c r="A74" s="20" t="inlineStr">
        <is>
          <t>PASSO 4:</t>
        </is>
      </c>
      <c r="B74" s="24" t="inlineStr">
        <is>
          <t>Alterando Células Variáveis: D35:E35,D36:E36,...,D46:E46
  → Ou simplesmente: D35:E46</t>
        </is>
      </c>
    </row>
    <row r="75">
      <c r="A75" s="20" t="inlineStr">
        <is>
          <t>PASSO 5:</t>
        </is>
      </c>
      <c r="B75" s="24" t="inlineStr">
        <is>
          <t>Sujeito às Restrições — clique 'Adicionar' para cada uma (ver tabela abaixo):</t>
        </is>
      </c>
    </row>
    <row r="77">
      <c r="A77" s="4" t="inlineStr">
        <is>
          <t>Restrições a adicionar no Solver:</t>
        </is>
      </c>
    </row>
    <row r="78">
      <c r="A78" s="5" t="inlineStr">
        <is>
          <t>#</t>
        </is>
      </c>
      <c r="B78" s="5" t="inlineStr">
        <is>
          <t>Referência da Célula (LHS)</t>
        </is>
      </c>
      <c r="C78" s="5" t="inlineStr">
        <is>
          <t>Operador</t>
        </is>
      </c>
      <c r="D78" s="5" t="inlineStr">
        <is>
          <t>Restrição (RHS)</t>
        </is>
      </c>
      <c r="E78" s="5" t="inlineStr">
        <is>
          <t>Descrição</t>
        </is>
      </c>
    </row>
    <row r="79">
      <c r="A79" s="18" t="n">
        <v>1</v>
      </c>
      <c r="B79" s="22" t="inlineStr">
        <is>
          <t>C55</t>
        </is>
      </c>
      <c r="C79" s="17" t="inlineStr">
        <is>
          <t>=</t>
        </is>
      </c>
      <c r="D79" s="22" t="inlineStr">
        <is>
          <t>F55</t>
        </is>
      </c>
      <c r="E79" s="16" t="inlineStr">
        <is>
          <t>Conservação Distrib. 1 (Minivan)</t>
        </is>
      </c>
    </row>
    <row r="80">
      <c r="A80" s="18" t="n">
        <v>2</v>
      </c>
      <c r="B80" s="22" t="inlineStr">
        <is>
          <t>C56</t>
        </is>
      </c>
      <c r="C80" s="17" t="inlineStr">
        <is>
          <t>=</t>
        </is>
      </c>
      <c r="D80" s="22" t="inlineStr">
        <is>
          <t>F56</t>
        </is>
      </c>
      <c r="E80" s="16" t="inlineStr">
        <is>
          <t>Conservação Distrib. 1 (Esportivo)</t>
        </is>
      </c>
    </row>
    <row r="81">
      <c r="A81" s="18" t="n">
        <v>3</v>
      </c>
      <c r="B81" s="22" t="inlineStr">
        <is>
          <t>C57</t>
        </is>
      </c>
      <c r="C81" s="17" t="inlineStr">
        <is>
          <t>=</t>
        </is>
      </c>
      <c r="D81" s="22" t="inlineStr">
        <is>
          <t>F57</t>
        </is>
      </c>
      <c r="E81" s="16" t="inlineStr">
        <is>
          <t>Conservação Distrib. 2 (Minivan)</t>
        </is>
      </c>
    </row>
    <row r="82">
      <c r="A82" s="18" t="n">
        <v>4</v>
      </c>
      <c r="B82" s="22" t="inlineStr">
        <is>
          <t>C58</t>
        </is>
      </c>
      <c r="C82" s="17" t="inlineStr">
        <is>
          <t>=</t>
        </is>
      </c>
      <c r="D82" s="22" t="inlineStr">
        <is>
          <t>F58</t>
        </is>
      </c>
      <c r="E82" s="16" t="inlineStr">
        <is>
          <t>Conservação Distrib. 2 (Esportivo)</t>
        </is>
      </c>
    </row>
    <row r="83">
      <c r="A83" s="18" t="n">
        <v>5</v>
      </c>
      <c r="B83" s="22" t="inlineStr">
        <is>
          <t>C59</t>
        </is>
      </c>
      <c r="C83" s="17" t="inlineStr">
        <is>
          <t>&lt;=</t>
        </is>
      </c>
      <c r="D83" s="22" t="inlineStr">
        <is>
          <t>F59</t>
        </is>
      </c>
      <c r="E83" s="16" t="inlineStr">
        <is>
          <t>Oferta Porto 1 (Minivan)</t>
        </is>
      </c>
    </row>
    <row r="84">
      <c r="A84" s="18" t="n">
        <v>6</v>
      </c>
      <c r="B84" s="22" t="inlineStr">
        <is>
          <t>C60</t>
        </is>
      </c>
      <c r="C84" s="17" t="inlineStr">
        <is>
          <t>&lt;=</t>
        </is>
      </c>
      <c r="D84" s="22" t="inlineStr">
        <is>
          <t>F60</t>
        </is>
      </c>
      <c r="E84" s="16" t="inlineStr">
        <is>
          <t>Oferta Porto 1 (Esportivo)</t>
        </is>
      </c>
    </row>
    <row r="85">
      <c r="A85" s="18" t="n">
        <v>7</v>
      </c>
      <c r="B85" s="22" t="inlineStr">
        <is>
          <t>C61</t>
        </is>
      </c>
      <c r="C85" s="17" t="inlineStr">
        <is>
          <t>&lt;=</t>
        </is>
      </c>
      <c r="D85" s="22" t="inlineStr">
        <is>
          <t>F61</t>
        </is>
      </c>
      <c r="E85" s="16" t="inlineStr">
        <is>
          <t>Oferta Porto 2 (Minivan)</t>
        </is>
      </c>
    </row>
    <row r="86">
      <c r="A86" s="18" t="n">
        <v>8</v>
      </c>
      <c r="B86" s="22" t="inlineStr">
        <is>
          <t>C62</t>
        </is>
      </c>
      <c r="C86" s="17" t="inlineStr">
        <is>
          <t>&lt;=</t>
        </is>
      </c>
      <c r="D86" s="22" t="inlineStr">
        <is>
          <t>F62</t>
        </is>
      </c>
      <c r="E86" s="16" t="inlineStr">
        <is>
          <t>Oferta Porto 2 (Esportivo)</t>
        </is>
      </c>
    </row>
    <row r="87">
      <c r="A87" s="18" t="n">
        <v>9</v>
      </c>
      <c r="B87" s="22" t="inlineStr">
        <is>
          <t>C63</t>
        </is>
      </c>
      <c r="C87" s="17" t="inlineStr">
        <is>
          <t>&gt;=</t>
        </is>
      </c>
      <c r="D87" s="22" t="inlineStr">
        <is>
          <t>F63</t>
        </is>
      </c>
      <c r="E87" s="16" t="inlineStr">
        <is>
          <t>Demanda Revenda 3 (Minivan)</t>
        </is>
      </c>
    </row>
    <row r="88">
      <c r="A88" s="18" t="n">
        <v>10</v>
      </c>
      <c r="B88" s="22" t="inlineStr">
        <is>
          <t>C64</t>
        </is>
      </c>
      <c r="C88" s="17" t="inlineStr">
        <is>
          <t>&gt;=</t>
        </is>
      </c>
      <c r="D88" s="22" t="inlineStr">
        <is>
          <t>F64</t>
        </is>
      </c>
      <c r="E88" s="16" t="inlineStr">
        <is>
          <t>Demanda Revenda 3 (Esportivo)</t>
        </is>
      </c>
    </row>
    <row r="89">
      <c r="A89" s="18" t="n">
        <v>11</v>
      </c>
      <c r="B89" s="22" t="inlineStr">
        <is>
          <t>C65</t>
        </is>
      </c>
      <c r="C89" s="17" t="inlineStr">
        <is>
          <t>&gt;=</t>
        </is>
      </c>
      <c r="D89" s="22" t="inlineStr">
        <is>
          <t>F65</t>
        </is>
      </c>
      <c r="E89" s="16" t="inlineStr">
        <is>
          <t>Demanda Revenda 2 (Minivan)</t>
        </is>
      </c>
    </row>
    <row r="90">
      <c r="A90" s="18" t="n">
        <v>12</v>
      </c>
      <c r="B90" s="22" t="inlineStr">
        <is>
          <t>C66</t>
        </is>
      </c>
      <c r="C90" s="17" t="inlineStr">
        <is>
          <t>&gt;=</t>
        </is>
      </c>
      <c r="D90" s="22" t="inlineStr">
        <is>
          <t>F66</t>
        </is>
      </c>
      <c r="E90" s="16" t="inlineStr">
        <is>
          <t>Demanda Revenda 2 (Esportivo)</t>
        </is>
      </c>
    </row>
    <row r="91">
      <c r="A91" s="18" t="n">
        <v>13</v>
      </c>
      <c r="B91" s="22" t="inlineStr">
        <is>
          <t>D35:E46</t>
        </is>
      </c>
      <c r="C91" s="17" t="inlineStr">
        <is>
          <t>&gt;=</t>
        </is>
      </c>
      <c r="D91" s="22" t="inlineStr">
        <is>
          <t>0</t>
        </is>
      </c>
      <c r="E91" s="16" t="inlineStr">
        <is>
          <t>Não-negatividade</t>
        </is>
      </c>
    </row>
    <row r="93">
      <c r="A93" s="20" t="inlineStr">
        <is>
          <t>PASSO 6:</t>
        </is>
      </c>
      <c r="B93" s="4" t="inlineStr">
        <is>
          <t>Selecionar Método de Resolução: 'Simplex LP'</t>
        </is>
      </c>
    </row>
    <row r="94">
      <c r="A94" s="20" t="inlineStr">
        <is>
          <t>PASSO 7:</t>
        </is>
      </c>
      <c r="B94" s="21" t="inlineStr">
        <is>
          <t>Marcar 'Tornar Variáveis Irrestritas Não Negativas' ✓</t>
        </is>
      </c>
    </row>
    <row r="95">
      <c r="A95" s="20" t="inlineStr">
        <is>
          <t>PASSO 8:</t>
        </is>
      </c>
      <c r="B95" s="21" t="inlineStr">
        <is>
          <t>Clicar 'Resolver' → 'Manter Solução do Solver' → OK</t>
        </is>
      </c>
    </row>
    <row r="97">
      <c r="A97" s="2" t="inlineStr">
        <is>
          <t>6. RESPOSTAS POR EXTENSO — Itens c) e d)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9">
      <c r="A99" s="25" t="inlineStr">
        <is>
          <t xml:space="preserve">ITEM c) Fluxo ótimo (De → Para) e quantidades por tipo de veículo:
=== Minivan (multiplicador de custo: ×1.15) ===
  • Porto 1 → Distrib. 1: 325 veículos  (custo unit. ajustado: $115.00, custo total arco: $37,375.00)
  • Porto 2 → Distrib. 2: 430 veículos  (custo unit. ajustado: $138.00, custo total arco: $59,340.00)
  • Distrib. 1 → Revenda 3: 47 veículos  (custo unit. ajustado: $184.00, custo total arco: $8,648.00)
  • Distrib. 1 → Revenda 2: 278 veículos  (custo unit. ajustado: $195.50, custo total arco: $54,349.00)
  • Distrib. 2 → Revenda 3: 430 veículos  (custo unit. ajustado: $161.00, custo total arco: $69,230.00)
=== Esportivo (multiplicador de custo: ×0.90) ===
  • Porto 1 → Distrib. 1: 450 veículos  (custo unit. ajustado: $90.00, custo total arco: $40,500.00)
  • Porto 2 → Distrib. 2: 300 veículos  (custo unit. ajustado: $108.00, custo total arco: $32,400.00)
  • Distrib. 1 → Revenda 2: 450 veículos  (custo unit. ajustado: $153.00, custo total arco: $68,850.00)
  • Distrib. 2 → Revenda 3: 227 veículos  (custo unit. ajustado: $126.00, custo total arco: $28,602.00)
  • Distrib. 2 → Revenda 2: 73 veículos  (custo unit. ajustado: $144.00, custo total arco: $10,512.00)
</t>
        </is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7">
      <c r="A117" s="32" t="inlineStr">
        <is>
          <t>ITEM d) O custo mínimo total dessa operação é: $409,806.00</t>
        </is>
      </c>
    </row>
    <row r="118"/>
    <row r="120">
      <c r="A120" s="2" t="inlineStr">
        <is>
          <t>7. ANÁLISE DE SENSIBILIDADE — Item e)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</row>
    <row r="122">
      <c r="A122" s="4" t="inlineStr">
        <is>
          <t>Como o custo total varia quando a capacidade máxima de cada arco vai de 500 a 1500 veículos:</t>
        </is>
      </c>
    </row>
    <row r="123">
      <c r="A123" s="5" t="inlineStr">
        <is>
          <t>Capacidade Máx/Arco</t>
        </is>
      </c>
      <c r="B123" s="5" t="inlineStr">
        <is>
          <t>Custo Total ($)</t>
        </is>
      </c>
      <c r="C123" s="5" t="inlineStr">
        <is>
          <t>Status</t>
        </is>
      </c>
      <c r="D123" s="5" t="inlineStr">
        <is>
          <t>Variação vs Sem Limite</t>
        </is>
      </c>
    </row>
    <row r="124">
      <c r="A124" s="8" t="n">
        <v>500</v>
      </c>
      <c r="B124" s="33" t="n">
        <v>420309</v>
      </c>
      <c r="C124" s="18" t="inlineStr">
        <is>
          <t>Viável</t>
        </is>
      </c>
      <c r="D124" s="34">
        <f>(B124-409806.0)/409806.0</f>
        <v/>
      </c>
    </row>
    <row r="125">
      <c r="A125" s="8" t="n">
        <v>600</v>
      </c>
      <c r="B125" s="33" t="n">
        <v>415809</v>
      </c>
      <c r="C125" s="18" t="inlineStr">
        <is>
          <t>Viável</t>
        </is>
      </c>
      <c r="D125" s="34">
        <f>(B125-409806.0)/409806.0</f>
        <v/>
      </c>
    </row>
    <row r="126">
      <c r="A126" s="8" t="n">
        <v>700</v>
      </c>
      <c r="B126" s="33" t="n">
        <v>411416.5</v>
      </c>
      <c r="C126" s="18" t="inlineStr">
        <is>
          <t>Viável</t>
        </is>
      </c>
      <c r="D126" s="34">
        <f>(B126-409806.0)/409806.0</f>
        <v/>
      </c>
    </row>
    <row r="127">
      <c r="A127" s="8" t="n">
        <v>800</v>
      </c>
      <c r="B127" s="33" t="n">
        <v>409806</v>
      </c>
      <c r="C127" s="18" t="inlineStr">
        <is>
          <t>Viável</t>
        </is>
      </c>
      <c r="D127" s="34">
        <f>(B127-409806.0)/409806.0</f>
        <v/>
      </c>
    </row>
    <row r="128">
      <c r="A128" s="8" t="n">
        <v>900</v>
      </c>
      <c r="B128" s="33" t="n">
        <v>409806</v>
      </c>
      <c r="C128" s="18" t="inlineStr">
        <is>
          <t>Viável</t>
        </is>
      </c>
      <c r="D128" s="34">
        <f>(B128-409806.0)/409806.0</f>
        <v/>
      </c>
    </row>
    <row r="129">
      <c r="A129" s="8" t="n">
        <v>1000</v>
      </c>
      <c r="B129" s="33" t="n">
        <v>409806</v>
      </c>
      <c r="C129" s="18" t="inlineStr">
        <is>
          <t>Viável</t>
        </is>
      </c>
      <c r="D129" s="34">
        <f>(B129-409806.0)/409806.0</f>
        <v/>
      </c>
    </row>
    <row r="130">
      <c r="A130" s="8" t="n">
        <v>1100</v>
      </c>
      <c r="B130" s="33" t="n">
        <v>409806</v>
      </c>
      <c r="C130" s="18" t="inlineStr">
        <is>
          <t>Viável</t>
        </is>
      </c>
      <c r="D130" s="34">
        <f>(B130-409806.0)/409806.0</f>
        <v/>
      </c>
    </row>
    <row r="131">
      <c r="A131" s="8" t="n">
        <v>1200</v>
      </c>
      <c r="B131" s="33" t="n">
        <v>409806</v>
      </c>
      <c r="C131" s="18" t="inlineStr">
        <is>
          <t>Viável</t>
        </is>
      </c>
      <c r="D131" s="34">
        <f>(B131-409806.0)/409806.0</f>
        <v/>
      </c>
    </row>
    <row r="132">
      <c r="A132" s="8" t="n">
        <v>1300</v>
      </c>
      <c r="B132" s="33" t="n">
        <v>409806</v>
      </c>
      <c r="C132" s="18" t="inlineStr">
        <is>
          <t>Viável</t>
        </is>
      </c>
      <c r="D132" s="34">
        <f>(B132-409806.0)/409806.0</f>
        <v/>
      </c>
    </row>
    <row r="133">
      <c r="A133" s="8" t="n">
        <v>1400</v>
      </c>
      <c r="B133" s="33" t="n">
        <v>409806</v>
      </c>
      <c r="C133" s="18" t="inlineStr">
        <is>
          <t>Viável</t>
        </is>
      </c>
      <c r="D133" s="34">
        <f>(B133-409806.0)/409806.0</f>
        <v/>
      </c>
    </row>
    <row r="134">
      <c r="A134" s="8" t="n">
        <v>1500</v>
      </c>
      <c r="B134" s="33" t="n">
        <v>409806</v>
      </c>
      <c r="C134" s="18" t="inlineStr">
        <is>
          <t>Viável</t>
        </is>
      </c>
      <c r="D134" s="34">
        <f>(B134-409806.0)/409806.0</f>
        <v/>
      </c>
    </row>
    <row r="136">
      <c r="A136" s="25" t="inlineStr">
        <is>
          <t>ITEM e) Análise de Sensibilidade — Resposta por extenso:
Capacidade Máx/Arco  →  Custo Total
    500 veículos  →  $  420,309.00  (diferença: $+10,503.00)
    600 veículos  →  $  415,809.00  (diferença: $ +6,003.00)
    700 veículos  →  $  411,416.50  (diferença: $ +1,610.50)
    800 veículos  →  $  409,806.00  (diferença: $     +0.00)
    900 veículos  →  $  409,806.00  (diferença: $     +0.00)
   1000 veículos  →  $  409,806.00  (diferença: $     +0.00)
   1100 veículos  →  $  409,806.00  (diferença: $     +0.00)
   1200 veículos  →  $  409,806.00  (diferença: $     +0.00)
   1300 veículos  →  $  409,806.00  (diferença: $     +0.00)
   1400 veículos  →  $  409,806.00  (diferença: $     +0.00)
   1500 veículos  →  $  409,806.00  (diferença: $     +0.00)
Conclusão: O custo mínimo de $409,806.00 (igual ao caso sem restrição de capacidade)
é atingido a partir de 800 veículos/arco. Abaixo desse valor, as restrições de
capacidade forçam o uso de rotas mais caras, elevando o custo total.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</sheetData>
  <mergeCells count="20">
    <mergeCell ref="A48:K48"/>
    <mergeCell ref="B74:K74"/>
    <mergeCell ref="A99:K115"/>
    <mergeCell ref="B95:K95"/>
    <mergeCell ref="A1:K1"/>
    <mergeCell ref="A136:K152"/>
    <mergeCell ref="B94:K94"/>
    <mergeCell ref="A69:K69"/>
    <mergeCell ref="B75:K75"/>
    <mergeCell ref="A122:F122"/>
    <mergeCell ref="B72:K72"/>
    <mergeCell ref="A120:K120"/>
    <mergeCell ref="B71:K71"/>
    <mergeCell ref="A3:K3"/>
    <mergeCell ref="B93:K93"/>
    <mergeCell ref="A117:K118"/>
    <mergeCell ref="A97:K97"/>
    <mergeCell ref="A52:K52"/>
    <mergeCell ref="B73:K73"/>
    <mergeCell ref="A31:K3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2026-03-15T22:13:45Z</dcterms:created>
  <dcterms:modified xsi:type="dcterms:W3CDTF">2026-03-15T22:13:45Z</dcterms:modified>
</cp:coreProperties>
</file>