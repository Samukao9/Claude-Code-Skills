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iz 3 - Armazéns" sheetId="1" state="visible" r:id="rId1"/>
    <sheet name="Quiz 4 - Distribuiçã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.0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2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0000FF"/>
      <sz val="10"/>
    </font>
    <font>
      <name val="Arial"/>
      <sz val="10"/>
    </font>
    <font>
      <name val="Arial"/>
      <sz val="1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FFFF00"/>
        <bgColor rgb="00FFFF00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>
        <color rgb="000000FF"/>
      </left>
      <right style="medium">
        <color rgb="000000FF"/>
      </right>
      <top style="medium">
        <color rgb="000000FF"/>
      </top>
      <bottom style="medium">
        <color rgb="000000F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0" borderId="0" pivotButton="0" quotePrefix="0" xfId="0"/>
    <xf numFmtId="1" fontId="6" fillId="0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3" fontId="7" fillId="0" borderId="1" applyAlignment="1" pivotButton="0" quotePrefix="0" xfId="0">
      <alignment horizontal="center" vertical="center"/>
    </xf>
    <xf numFmtId="164" fontId="7" fillId="0" borderId="1" pivotButton="0" quotePrefix="0" xfId="0"/>
    <xf numFmtId="0" fontId="2" fillId="0" borderId="0" pivotButton="0" quotePrefix="0" xfId="0"/>
    <xf numFmtId="164" fontId="2" fillId="4" borderId="2" pivotButton="0" quotePrefix="0" xfId="0"/>
    <xf numFmtId="0" fontId="7" fillId="0" borderId="1" pivotButton="0" quotePrefix="0" xfId="0"/>
    <xf numFmtId="3" fontId="7" fillId="0" borderId="1" pivotButton="0" quotePrefix="0" xfId="0"/>
    <xf numFmtId="0" fontId="7" fillId="0" borderId="1" applyAlignment="1" pivotButton="0" quotePrefix="0" xfId="0">
      <alignment horizontal="center" vertical="center"/>
    </xf>
    <xf numFmtId="3" fontId="5" fillId="0" borderId="1" pivotButton="0" quotePrefix="0" xfId="0"/>
    <xf numFmtId="1" fontId="7" fillId="0" borderId="1" pivotButton="0" quotePrefix="0" xfId="0"/>
    <xf numFmtId="1" fontId="5" fillId="0" borderId="1" pivotButton="0" quotePrefix="0" xfId="0"/>
    <xf numFmtId="0" fontId="5" fillId="0" borderId="1" pivotButton="0" quotePrefix="0" xfId="0"/>
    <xf numFmtId="0" fontId="7" fillId="0" borderId="0" pivotButton="0" quotePrefix="0" xfId="0"/>
    <xf numFmtId="0" fontId="8" fillId="5" borderId="0" applyAlignment="1" pivotButton="0" quotePrefix="0" xfId="0">
      <alignment horizontal="left" vertical="center" wrapText="1"/>
    </xf>
    <xf numFmtId="164" fontId="5" fillId="0" borderId="1" pivotButton="0" quotePrefix="0" xfId="0"/>
    <xf numFmtId="165" fontId="7" fillId="0" borderId="1" pivotButton="0" quotePrefix="0" xfId="0"/>
    <xf numFmtId="0" fontId="2" fillId="5" borderId="0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Análise de Sensibilidade: Capacidade vs Custo Total</a:t>
            </a:r>
          </a:p>
        </rich>
      </tx>
    </title>
    <plotArea>
      <lineChart>
        <grouping val="standard"/>
        <ser>
          <idx val="0"/>
          <order val="0"/>
          <tx>
            <strRef>
              <f>'Quiz 4 - Distribuição'!B101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'Quiz 4 - Distribuição'!$A$102:$A$112</f>
            </numRef>
          </cat>
          <val>
            <numRef>
              <f>'Quiz 4 - Distribuição'!$B$102:$B$112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Capacidade Máxima por Arco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Custo Total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QUIZ 3 — Localização de Armazéns (MILP)</t>
        </is>
      </c>
    </row>
    <row r="3">
      <c r="A3" s="2" t="inlineStr">
        <is>
          <t>1. DADOS DO PROBLEMA</t>
        </is>
      </c>
      <c r="B3" s="3" t="n"/>
      <c r="C3" s="3" t="n"/>
      <c r="D3" s="3" t="n"/>
      <c r="E3" s="3" t="n"/>
      <c r="F3" s="3" t="n"/>
      <c r="G3" s="3" t="n"/>
      <c r="H3" s="3" t="n"/>
    </row>
    <row r="5">
      <c r="A5" s="4" t="inlineStr">
        <is>
          <t>Custos Unitários (Produção + Transporte)</t>
        </is>
      </c>
    </row>
    <row r="6">
      <c r="A6" s="5" t="inlineStr">
        <is>
          <t>Armazém</t>
        </is>
      </c>
      <c r="B6" s="5" t="inlineStr">
        <is>
          <t>Região 1</t>
        </is>
      </c>
      <c r="C6" s="5" t="inlineStr">
        <is>
          <t>Região 2</t>
        </is>
      </c>
      <c r="D6" s="5" t="inlineStr">
        <is>
          <t>Região 3</t>
        </is>
      </c>
    </row>
    <row r="7">
      <c r="A7" s="6" t="inlineStr">
        <is>
          <t>NY</t>
        </is>
      </c>
      <c r="B7" s="7" t="n">
        <v>26</v>
      </c>
      <c r="C7" s="7" t="n">
        <v>41</v>
      </c>
      <c r="D7" s="7" t="n">
        <v>39</v>
      </c>
    </row>
    <row r="8">
      <c r="A8" s="6" t="inlineStr">
        <is>
          <t>LA</t>
        </is>
      </c>
      <c r="B8" s="7" t="n">
        <v>59</v>
      </c>
      <c r="C8" s="7" t="n">
        <v>27</v>
      </c>
      <c r="D8" s="7" t="n">
        <v>27</v>
      </c>
    </row>
    <row r="9">
      <c r="A9" s="6" t="inlineStr">
        <is>
          <t>Chicago</t>
        </is>
      </c>
      <c r="B9" s="7" t="n">
        <v>28</v>
      </c>
      <c r="C9" s="7" t="n">
        <v>32</v>
      </c>
      <c r="D9" s="7" t="n">
        <v>43</v>
      </c>
    </row>
    <row r="10">
      <c r="A10" s="6" t="inlineStr">
        <is>
          <t>Atlanta</t>
        </is>
      </c>
      <c r="B10" s="7" t="n">
        <v>28</v>
      </c>
      <c r="C10" s="7" t="n">
        <v>40</v>
      </c>
      <c r="D10" s="7" t="n">
        <v>38</v>
      </c>
    </row>
    <row r="12">
      <c r="A12" s="4" t="inlineStr">
        <is>
          <t>Custos Fixos Semanais</t>
        </is>
      </c>
    </row>
    <row r="13">
      <c r="A13" s="5" t="inlineStr">
        <is>
          <t>Armazém</t>
        </is>
      </c>
      <c r="B13" s="5" t="inlineStr">
        <is>
          <t>Custo Fixo</t>
        </is>
      </c>
    </row>
    <row r="14">
      <c r="A14" s="6" t="inlineStr">
        <is>
          <t>NY</t>
        </is>
      </c>
      <c r="B14" s="7" t="n">
        <v>60000</v>
      </c>
    </row>
    <row r="15">
      <c r="A15" s="6" t="inlineStr">
        <is>
          <t>LA</t>
        </is>
      </c>
      <c r="B15" s="7" t="n">
        <v>50000</v>
      </c>
    </row>
    <row r="16">
      <c r="A16" s="6" t="inlineStr">
        <is>
          <t>Chicago</t>
        </is>
      </c>
      <c r="B16" s="7" t="n">
        <v>40000</v>
      </c>
    </row>
    <row r="17">
      <c r="A17" s="6" t="inlineStr">
        <is>
          <t>Atlanta</t>
        </is>
      </c>
      <c r="B17" s="7" t="n">
        <v>35000</v>
      </c>
    </row>
    <row r="19">
      <c r="A19" s="4" t="inlineStr">
        <is>
          <t>Demandas Semanais</t>
        </is>
      </c>
    </row>
    <row r="20">
      <c r="A20" s="5" t="inlineStr">
        <is>
          <t>Região</t>
        </is>
      </c>
      <c r="B20" s="5" t="inlineStr">
        <is>
          <t>Demanda</t>
        </is>
      </c>
    </row>
    <row r="21">
      <c r="A21" s="6" t="inlineStr">
        <is>
          <t>Região 1</t>
        </is>
      </c>
      <c r="B21" s="8" t="n">
        <v>8000</v>
      </c>
    </row>
    <row r="22">
      <c r="A22" s="6" t="inlineStr">
        <is>
          <t>Região 2</t>
        </is>
      </c>
      <c r="B22" s="8" t="n">
        <v>9000</v>
      </c>
    </row>
    <row r="23">
      <c r="A23" s="6" t="inlineStr">
        <is>
          <t>Região 3</t>
        </is>
      </c>
      <c r="B23" s="8" t="n">
        <v>7000</v>
      </c>
    </row>
    <row r="25">
      <c r="A25" s="4" t="inlineStr">
        <is>
          <t>Capacidade por armazém:</t>
        </is>
      </c>
      <c r="B25" s="9" t="n">
        <v>15000</v>
      </c>
    </row>
    <row r="27">
      <c r="A27" s="2" t="inlineStr">
        <is>
          <t>2. VARIÁVEIS DE DECISÃO</t>
        </is>
      </c>
      <c r="B27" s="3" t="n"/>
      <c r="C27" s="3" t="n"/>
      <c r="D27" s="3" t="n"/>
      <c r="E27" s="3" t="n"/>
      <c r="F27" s="3" t="n"/>
      <c r="G27" s="3" t="n"/>
      <c r="H27" s="3" t="n"/>
    </row>
    <row r="29">
      <c r="A29" s="4" t="inlineStr">
        <is>
          <t>Variáveis Binárias (y_i = 1 se armazém i é aberto)</t>
        </is>
      </c>
    </row>
    <row r="30">
      <c r="A30" s="5" t="inlineStr">
        <is>
          <t>NY</t>
        </is>
      </c>
      <c r="B30" s="5" t="inlineStr">
        <is>
          <t>LA</t>
        </is>
      </c>
      <c r="C30" s="5" t="inlineStr">
        <is>
          <t>Chicago</t>
        </is>
      </c>
      <c r="D30" s="5" t="inlineStr">
        <is>
          <t>Atlanta</t>
        </is>
      </c>
    </row>
    <row r="31">
      <c r="A31" s="10" t="n">
        <v>0</v>
      </c>
      <c r="B31" s="10" t="n">
        <v>1</v>
      </c>
      <c r="C31" s="10" t="n">
        <v>1</v>
      </c>
      <c r="D31" s="10" t="n">
        <v>0</v>
      </c>
    </row>
    <row r="33">
      <c r="A33" s="4" t="inlineStr">
        <is>
          <t>Variáveis de Envio x_ij (unidades armazém → região)</t>
        </is>
      </c>
    </row>
    <row r="34">
      <c r="A34" s="5" t="inlineStr">
        <is>
          <t>Armazém</t>
        </is>
      </c>
      <c r="B34" s="5" t="inlineStr">
        <is>
          <t>Região 1</t>
        </is>
      </c>
      <c r="C34" s="5" t="inlineStr">
        <is>
          <t>Região 2</t>
        </is>
      </c>
      <c r="D34" s="5" t="inlineStr">
        <is>
          <t>Região 3</t>
        </is>
      </c>
      <c r="E34" s="5" t="inlineStr">
        <is>
          <t>Total Enviado</t>
        </is>
      </c>
    </row>
    <row r="35">
      <c r="A35" s="11" t="inlineStr">
        <is>
          <t>NY</t>
        </is>
      </c>
      <c r="B35" s="12" t="n">
        <v>0</v>
      </c>
      <c r="C35" s="12" t="n">
        <v>0</v>
      </c>
      <c r="D35" s="12" t="n">
        <v>0</v>
      </c>
      <c r="E35" s="13">
        <f>SUM(B35:D35)</f>
        <v/>
      </c>
    </row>
    <row r="36">
      <c r="A36" s="11" t="inlineStr">
        <is>
          <t>LA</t>
        </is>
      </c>
      <c r="B36" s="12" t="n">
        <v>0</v>
      </c>
      <c r="C36" s="12" t="n">
        <v>8000</v>
      </c>
      <c r="D36" s="12" t="n">
        <v>7000</v>
      </c>
      <c r="E36" s="13">
        <f>SUM(B36:D36)</f>
        <v/>
      </c>
    </row>
    <row r="37">
      <c r="A37" s="11" t="inlineStr">
        <is>
          <t>Chicago</t>
        </is>
      </c>
      <c r="B37" s="12" t="n">
        <v>8000</v>
      </c>
      <c r="C37" s="12" t="n">
        <v>1000</v>
      </c>
      <c r="D37" s="12" t="n">
        <v>0</v>
      </c>
      <c r="E37" s="13">
        <f>SUM(B37:D37)</f>
        <v/>
      </c>
    </row>
    <row r="38">
      <c r="A38" s="11" t="inlineStr">
        <is>
          <t>Atlanta</t>
        </is>
      </c>
      <c r="B38" s="12" t="n">
        <v>0</v>
      </c>
      <c r="C38" s="12" t="n">
        <v>0</v>
      </c>
      <c r="D38" s="12" t="n">
        <v>0</v>
      </c>
      <c r="E38" s="13">
        <f>SUM(B38:D38)</f>
        <v/>
      </c>
    </row>
    <row r="39">
      <c r="A39" s="11" t="inlineStr">
        <is>
          <t>Total Recebido</t>
        </is>
      </c>
      <c r="B39" s="13">
        <f>SUM(B35:B38)</f>
        <v/>
      </c>
      <c r="C39" s="13">
        <f>SUM(C35:C38)</f>
        <v/>
      </c>
      <c r="D39" s="13">
        <f>SUM(D35:D38)</f>
        <v/>
      </c>
    </row>
    <row r="41">
      <c r="A41" s="2" t="inlineStr">
        <is>
          <t>3. FUNÇÃO OBJETIVO (Minimizar Custo Total)</t>
        </is>
      </c>
      <c r="B41" s="3" t="n"/>
      <c r="C41" s="3" t="n"/>
      <c r="D41" s="3" t="n"/>
      <c r="E41" s="3" t="n"/>
      <c r="F41" s="3" t="n"/>
      <c r="G41" s="3" t="n"/>
      <c r="H41" s="3" t="n"/>
    </row>
    <row r="43">
      <c r="A43" s="4" t="inlineStr">
        <is>
          <t>Custo Fixo Total:</t>
        </is>
      </c>
      <c r="B43" s="14">
        <f>B14*A31+B15*B31+B16*C31+B17*D31</f>
        <v/>
      </c>
    </row>
    <row r="44">
      <c r="A44" s="4" t="inlineStr">
        <is>
          <t>Custo Variável Total:</t>
        </is>
      </c>
      <c r="B44" s="14">
        <f>SUMPRODUCT(B7:D10,B35:D38)</f>
        <v/>
      </c>
    </row>
    <row r="45">
      <c r="A45" s="15" t="inlineStr">
        <is>
          <t>CUSTO TOTAL (FO):</t>
        </is>
      </c>
      <c r="B45" s="16">
        <f>B43+B44</f>
        <v/>
      </c>
    </row>
    <row r="47">
      <c r="A47" s="2" t="inlineStr">
        <is>
          <t>4. RESTRIÇÕES</t>
        </is>
      </c>
      <c r="B47" s="3" t="n"/>
      <c r="C47" s="3" t="n"/>
      <c r="D47" s="3" t="n"/>
      <c r="E47" s="3" t="n"/>
      <c r="F47" s="3" t="n"/>
      <c r="G47" s="3" t="n"/>
      <c r="H47" s="3" t="n"/>
    </row>
    <row r="49">
      <c r="A49" s="5" t="inlineStr">
        <is>
          <t>Restrição</t>
        </is>
      </c>
      <c r="B49" s="5" t="inlineStr">
        <is>
          <t>LHS</t>
        </is>
      </c>
      <c r="C49" s="5" t="inlineStr">
        <is>
          <t>Sinal</t>
        </is>
      </c>
      <c r="D49" s="5" t="inlineStr">
        <is>
          <t>RHS</t>
        </is>
      </c>
      <c r="E49" s="5" t="inlineStr">
        <is>
          <t>Atendida?</t>
        </is>
      </c>
    </row>
    <row r="50">
      <c r="A50" s="17" t="inlineStr">
        <is>
          <t>Demanda Região 1</t>
        </is>
      </c>
      <c r="B50" s="18">
        <f>B39</f>
        <v/>
      </c>
      <c r="C50" s="19" t="inlineStr">
        <is>
          <t>&gt;=</t>
        </is>
      </c>
      <c r="D50" s="20" t="n">
        <v>8000</v>
      </c>
      <c r="E50" s="19">
        <f>IF(B50&gt;=D50,"OK","VIOLA")</f>
        <v/>
      </c>
    </row>
    <row r="51">
      <c r="A51" s="17" t="inlineStr">
        <is>
          <t>Demanda Região 2</t>
        </is>
      </c>
      <c r="B51" s="18">
        <f>C39</f>
        <v/>
      </c>
      <c r="C51" s="19" t="inlineStr">
        <is>
          <t>&gt;=</t>
        </is>
      </c>
      <c r="D51" s="20" t="n">
        <v>9000</v>
      </c>
      <c r="E51" s="19">
        <f>IF(B51&gt;=D51,"OK","VIOLA")</f>
        <v/>
      </c>
    </row>
    <row r="52">
      <c r="A52" s="17" t="inlineStr">
        <is>
          <t>Demanda Região 3</t>
        </is>
      </c>
      <c r="B52" s="18">
        <f>D39</f>
        <v/>
      </c>
      <c r="C52" s="19" t="inlineStr">
        <is>
          <t>&gt;=</t>
        </is>
      </c>
      <c r="D52" s="20" t="n">
        <v>7000</v>
      </c>
      <c r="E52" s="19">
        <f>IF(B52&gt;=D52,"OK","VIOLA")</f>
        <v/>
      </c>
    </row>
    <row r="53">
      <c r="A53" s="17" t="inlineStr">
        <is>
          <t>Capacidade NY</t>
        </is>
      </c>
      <c r="B53" s="18">
        <f>E35</f>
        <v/>
      </c>
      <c r="C53" s="19" t="inlineStr">
        <is>
          <t>&lt;=</t>
        </is>
      </c>
      <c r="D53" s="18">
        <f>B25*A31</f>
        <v/>
      </c>
      <c r="E53" s="19">
        <f>IF(B53&lt;=D53,"OK","VIOLA")</f>
        <v/>
      </c>
    </row>
    <row r="54">
      <c r="A54" s="17" t="inlineStr">
        <is>
          <t>Capacidade LA</t>
        </is>
      </c>
      <c r="B54" s="18">
        <f>E36</f>
        <v/>
      </c>
      <c r="C54" s="19" t="inlineStr">
        <is>
          <t>&lt;=</t>
        </is>
      </c>
      <c r="D54" s="18">
        <f>B25*B31</f>
        <v/>
      </c>
      <c r="E54" s="19">
        <f>IF(B54&lt;=D54,"OK","VIOLA")</f>
        <v/>
      </c>
    </row>
    <row r="55">
      <c r="A55" s="17" t="inlineStr">
        <is>
          <t>Capacidade Chicago</t>
        </is>
      </c>
      <c r="B55" s="18">
        <f>E37</f>
        <v/>
      </c>
      <c r="C55" s="19" t="inlineStr">
        <is>
          <t>&lt;=</t>
        </is>
      </c>
      <c r="D55" s="18">
        <f>B25*C31</f>
        <v/>
      </c>
      <c r="E55" s="19">
        <f>IF(B55&lt;=D55,"OK","VIOLA")</f>
        <v/>
      </c>
    </row>
    <row r="56">
      <c r="A56" s="17" t="inlineStr">
        <is>
          <t>Capacidade Atlanta</t>
        </is>
      </c>
      <c r="B56" s="18">
        <f>E38</f>
        <v/>
      </c>
      <c r="C56" s="19" t="inlineStr">
        <is>
          <t>&lt;=</t>
        </is>
      </c>
      <c r="D56" s="18">
        <f>B25*D31</f>
        <v/>
      </c>
      <c r="E56" s="19">
        <f>IF(B56&lt;=D56,"OK","VIOLA")</f>
        <v/>
      </c>
    </row>
    <row r="57">
      <c r="A57" s="17" t="inlineStr">
        <is>
          <t>NY → LA (y_NY ≤ y_LA)</t>
        </is>
      </c>
      <c r="B57" s="21">
        <f>A31</f>
        <v/>
      </c>
      <c r="C57" s="19" t="inlineStr">
        <is>
          <t>&lt;=</t>
        </is>
      </c>
      <c r="D57" s="21">
        <f>B31</f>
        <v/>
      </c>
      <c r="E57" s="19">
        <f>IF(B57&lt;=D57,"OK","VIOLA")</f>
        <v/>
      </c>
    </row>
    <row r="58">
      <c r="A58" s="17" t="inlineStr">
        <is>
          <t>Máx 2 armazéns (Σy ≤ 2)</t>
        </is>
      </c>
      <c r="B58" s="21">
        <f>SUM(A31:D31)</f>
        <v/>
      </c>
      <c r="C58" s="19" t="inlineStr">
        <is>
          <t>&lt;=</t>
        </is>
      </c>
      <c r="D58" s="22" t="n">
        <v>2</v>
      </c>
      <c r="E58" s="19">
        <f>IF(B58&lt;=D58,"OK","VIOLA")</f>
        <v/>
      </c>
    </row>
    <row r="59">
      <c r="A59" s="17" t="inlineStr">
        <is>
          <t>ATL ou LA (y_ATL + y_LA ≥ 1)</t>
        </is>
      </c>
      <c r="B59" s="21">
        <f>D31+B31</f>
        <v/>
      </c>
      <c r="C59" s="19" t="inlineStr">
        <is>
          <t>&gt;=</t>
        </is>
      </c>
      <c r="D59" s="22" t="n">
        <v>1</v>
      </c>
      <c r="E59" s="19">
        <f>IF(B59&gt;=D59,"OK","VIOLA")</f>
        <v/>
      </c>
    </row>
    <row r="60">
      <c r="A60" s="17" t="inlineStr">
        <is>
          <t>y_i ∈ {0,1} (binário)</t>
        </is>
      </c>
      <c r="B60" s="17" t="inlineStr">
        <is>
          <t>Restrição de tipo</t>
        </is>
      </c>
      <c r="C60" s="19" t="inlineStr">
        <is>
          <t>=</t>
        </is>
      </c>
      <c r="D60" s="23" t="inlineStr">
        <is>
          <t>Binário</t>
        </is>
      </c>
    </row>
    <row r="62">
      <c r="A62" s="2" t="inlineStr">
        <is>
          <t>5. CONFIGURAÇÃO DO SOLVER</t>
        </is>
      </c>
      <c r="B62" s="3" t="n"/>
      <c r="C62" s="3" t="n"/>
      <c r="D62" s="3" t="n"/>
      <c r="E62" s="3" t="n"/>
      <c r="F62" s="3" t="n"/>
      <c r="G62" s="3" t="n"/>
      <c r="H62" s="3" t="n"/>
    </row>
    <row r="64">
      <c r="A64" s="4" t="inlineStr">
        <is>
          <t>Célula Objetivo:</t>
        </is>
      </c>
      <c r="B64" s="24" t="inlineStr">
        <is>
          <t>B45 (Minimizar)</t>
        </is>
      </c>
    </row>
    <row r="65">
      <c r="A65" s="4" t="inlineStr">
        <is>
          <t>Variáveis de Decisão:</t>
        </is>
      </c>
      <c r="B65" s="24" t="inlineStr">
        <is>
          <t>A31:D31 (binárias), B35:D38 (contínuas)</t>
        </is>
      </c>
    </row>
    <row r="66">
      <c r="A66" s="4" t="inlineStr">
        <is>
          <t>Método:</t>
        </is>
      </c>
      <c r="B66" s="24" t="inlineStr">
        <is>
          <t>Simplex LP (Branch &amp; Bound para variáveis binárias)</t>
        </is>
      </c>
    </row>
    <row r="67">
      <c r="A67" s="4" t="inlineStr">
        <is>
          <t>Restrições:</t>
        </is>
      </c>
      <c r="B67" s="24" t="inlineStr"/>
    </row>
    <row r="68">
      <c r="B68" s="24" t="inlineStr">
        <is>
          <t>B50 &gt;= D50  (Demanda Região 1)</t>
        </is>
      </c>
    </row>
    <row r="69">
      <c r="B69" s="24" t="inlineStr">
        <is>
          <t>B51 &gt;= D51  (Demanda Região 2)</t>
        </is>
      </c>
    </row>
    <row r="70">
      <c r="B70" s="24" t="inlineStr">
        <is>
          <t>B52 &gt;= D52  (Demanda Região 3)</t>
        </is>
      </c>
    </row>
    <row r="71">
      <c r="B71" s="24" t="inlineStr">
        <is>
          <t>B53 &lt;= D53  (Capacidade NY)</t>
        </is>
      </c>
    </row>
    <row r="72">
      <c r="B72" s="24" t="inlineStr">
        <is>
          <t>B54 &lt;= D54  (Capacidade LA)</t>
        </is>
      </c>
    </row>
    <row r="73">
      <c r="B73" s="24" t="inlineStr">
        <is>
          <t>B55 &lt;= D55  (Capacidade Chicago)</t>
        </is>
      </c>
    </row>
    <row r="74">
      <c r="B74" s="24" t="inlineStr">
        <is>
          <t>B56 &lt;= D56  (Capacidade Atlanta)</t>
        </is>
      </c>
    </row>
    <row r="75">
      <c r="B75" s="24" t="inlineStr">
        <is>
          <t>B57 &lt;= D57  (NY→LA)</t>
        </is>
      </c>
    </row>
    <row r="76">
      <c r="B76" s="24" t="inlineStr">
        <is>
          <t>B58 &lt;= D58  (Máx 2 armazéns)</t>
        </is>
      </c>
    </row>
    <row r="77">
      <c r="B77" s="24" t="inlineStr">
        <is>
          <t>B59 &gt;= D59  (ATL ou LA)</t>
        </is>
      </c>
    </row>
    <row r="78">
      <c r="B78" s="24" t="inlineStr">
        <is>
          <t>A31:D31 = Binário</t>
        </is>
      </c>
    </row>
    <row r="79">
      <c r="B79" s="24" t="inlineStr">
        <is>
          <t>B35:D38 &gt;= 0</t>
        </is>
      </c>
    </row>
    <row r="82">
      <c r="A82" s="2" t="inlineStr">
        <is>
          <t>6. RESPOSTA POR EXTENSO</t>
        </is>
      </c>
      <c r="B82" s="3" t="n"/>
      <c r="C82" s="3" t="n"/>
      <c r="D82" s="3" t="n"/>
      <c r="E82" s="3" t="n"/>
      <c r="F82" s="3" t="n"/>
      <c r="G82" s="3" t="n"/>
      <c r="H82" s="3" t="n"/>
    </row>
    <row r="84">
      <c r="A84" s="25" t="inlineStr">
        <is>
          <t>SOLUÇÃO ÓTIMA — Custo Total Mínimo: $751,000
Armazéns abertos: LA, Chicago
Envios (armazém → região):
  LA → Região 2: 8,000 unidades
  LA → Região 3: 7,000 unidades
  Chicago → Região 1: 8,000 unidades
  Chicago → Região 2: 1,000 unidades</t>
        </is>
      </c>
    </row>
    <row r="85"/>
    <row r="86"/>
    <row r="87"/>
    <row r="88"/>
    <row r="89"/>
    <row r="90"/>
    <row r="91"/>
    <row r="92"/>
  </sheetData>
  <mergeCells count="9">
    <mergeCell ref="A62:H62"/>
    <mergeCell ref="A3:H3"/>
    <mergeCell ref="A82:H82"/>
    <mergeCell ref="A41:H41"/>
    <mergeCell ref="A47:H47"/>
    <mergeCell ref="A1:H1"/>
    <mergeCell ref="A84:H92"/>
    <mergeCell ref="A27:H27"/>
    <mergeCell ref="B67:H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1" t="inlineStr">
        <is>
          <t>QUIZ 4 — Distribuição de Veículos (PL - Fluxo em Rede)</t>
        </is>
      </c>
    </row>
    <row r="3">
      <c r="A3" s="2" t="inlineStr">
        <is>
          <t>1. DADOS DO PROBLEMA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5">
      <c r="A5" s="4" t="inlineStr">
        <is>
          <t>Arcos da Rede e Custos Padrão</t>
        </is>
      </c>
    </row>
    <row r="6">
      <c r="A6" s="5" t="inlineStr">
        <is>
          <t>#</t>
        </is>
      </c>
      <c r="B6" s="5" t="inlineStr">
        <is>
          <t>De</t>
        </is>
      </c>
      <c r="C6" s="5" t="inlineStr">
        <is>
          <t>Para</t>
        </is>
      </c>
      <c r="D6" s="5" t="inlineStr">
        <is>
          <t>Custo Padrão</t>
        </is>
      </c>
      <c r="E6" s="5" t="inlineStr">
        <is>
          <t>Custo Minivan (×1.15)</t>
        </is>
      </c>
      <c r="F6" s="5" t="inlineStr">
        <is>
          <t>Custo Esportivo (×0.90)</t>
        </is>
      </c>
    </row>
    <row r="7">
      <c r="A7" s="19" t="n">
        <v>1</v>
      </c>
      <c r="B7" s="23" t="inlineStr">
        <is>
          <t>Porto 1</t>
        </is>
      </c>
      <c r="C7" s="23" t="inlineStr">
        <is>
          <t>Distrib. 1</t>
        </is>
      </c>
      <c r="D7" s="26" t="n">
        <v>100</v>
      </c>
      <c r="E7" s="27">
        <f>D7*1.15</f>
        <v/>
      </c>
      <c r="F7" s="27">
        <f>D7*0.9</f>
        <v/>
      </c>
    </row>
    <row r="8">
      <c r="A8" s="19" t="n">
        <v>2</v>
      </c>
      <c r="B8" s="23" t="inlineStr">
        <is>
          <t>Porto 1</t>
        </is>
      </c>
      <c r="C8" s="23" t="inlineStr">
        <is>
          <t>Revenda 3</t>
        </is>
      </c>
      <c r="D8" s="26" t="n">
        <v>300</v>
      </c>
      <c r="E8" s="27">
        <f>D8*1.15</f>
        <v/>
      </c>
      <c r="F8" s="27">
        <f>D8*0.9</f>
        <v/>
      </c>
    </row>
    <row r="9">
      <c r="A9" s="19" t="n">
        <v>3</v>
      </c>
      <c r="B9" s="23" t="inlineStr">
        <is>
          <t>Porto 1</t>
        </is>
      </c>
      <c r="C9" s="23" t="inlineStr">
        <is>
          <t>Distrib. 2</t>
        </is>
      </c>
      <c r="D9" s="26" t="n">
        <v>130</v>
      </c>
      <c r="E9" s="27">
        <f>D9*1.15</f>
        <v/>
      </c>
      <c r="F9" s="27">
        <f>D9*0.9</f>
        <v/>
      </c>
    </row>
    <row r="10">
      <c r="A10" s="19" t="n">
        <v>4</v>
      </c>
      <c r="B10" s="23" t="inlineStr">
        <is>
          <t>Porto 2</t>
        </is>
      </c>
      <c r="C10" s="23" t="inlineStr">
        <is>
          <t>Distrib. 1</t>
        </is>
      </c>
      <c r="D10" s="26" t="n">
        <v>150</v>
      </c>
      <c r="E10" s="27">
        <f>D10*1.15</f>
        <v/>
      </c>
      <c r="F10" s="27">
        <f>D10*0.9</f>
        <v/>
      </c>
    </row>
    <row r="11">
      <c r="A11" s="19" t="n">
        <v>5</v>
      </c>
      <c r="B11" s="23" t="inlineStr">
        <is>
          <t>Porto 2</t>
        </is>
      </c>
      <c r="C11" s="23" t="inlineStr">
        <is>
          <t>Revenda 2</t>
        </is>
      </c>
      <c r="D11" s="26" t="n">
        <v>300</v>
      </c>
      <c r="E11" s="27">
        <f>D11*1.15</f>
        <v/>
      </c>
      <c r="F11" s="27">
        <f>D11*0.9</f>
        <v/>
      </c>
    </row>
    <row r="12">
      <c r="A12" s="19" t="n">
        <v>6</v>
      </c>
      <c r="B12" s="23" t="inlineStr">
        <is>
          <t>Porto 2</t>
        </is>
      </c>
      <c r="C12" s="23" t="inlineStr">
        <is>
          <t>Distrib. 2</t>
        </is>
      </c>
      <c r="D12" s="26" t="n">
        <v>120</v>
      </c>
      <c r="E12" s="27">
        <f>D12*1.15</f>
        <v/>
      </c>
      <c r="F12" s="27">
        <f>D12*0.9</f>
        <v/>
      </c>
    </row>
    <row r="13">
      <c r="A13" s="19" t="n">
        <v>7</v>
      </c>
      <c r="B13" s="23" t="inlineStr">
        <is>
          <t>Distrib. 1</t>
        </is>
      </c>
      <c r="C13" s="23" t="inlineStr">
        <is>
          <t>Revenda 3</t>
        </is>
      </c>
      <c r="D13" s="26" t="n">
        <v>160</v>
      </c>
      <c r="E13" s="27">
        <f>D13*1.15</f>
        <v/>
      </c>
      <c r="F13" s="27">
        <f>D13*0.9</f>
        <v/>
      </c>
    </row>
    <row r="14">
      <c r="A14" s="19" t="n">
        <v>8</v>
      </c>
      <c r="B14" s="23" t="inlineStr">
        <is>
          <t>Distrib. 1</t>
        </is>
      </c>
      <c r="C14" s="23" t="inlineStr">
        <is>
          <t>Revenda 2</t>
        </is>
      </c>
      <c r="D14" s="26" t="n">
        <v>170</v>
      </c>
      <c r="E14" s="27">
        <f>D14*1.15</f>
        <v/>
      </c>
      <c r="F14" s="27">
        <f>D14*0.9</f>
        <v/>
      </c>
    </row>
    <row r="15">
      <c r="A15" s="19" t="n">
        <v>9</v>
      </c>
      <c r="B15" s="23" t="inlineStr">
        <is>
          <t>Distrib. 1</t>
        </is>
      </c>
      <c r="C15" s="23" t="inlineStr">
        <is>
          <t>Distrib. 2</t>
        </is>
      </c>
      <c r="D15" s="26" t="n">
        <v>280</v>
      </c>
      <c r="E15" s="27">
        <f>D15*1.15</f>
        <v/>
      </c>
      <c r="F15" s="27">
        <f>D15*0.9</f>
        <v/>
      </c>
    </row>
    <row r="16">
      <c r="A16" s="19" t="n">
        <v>10</v>
      </c>
      <c r="B16" s="23" t="inlineStr">
        <is>
          <t>Distrib. 2</t>
        </is>
      </c>
      <c r="C16" s="23" t="inlineStr">
        <is>
          <t>Revenda 3</t>
        </is>
      </c>
      <c r="D16" s="26" t="n">
        <v>140</v>
      </c>
      <c r="E16" s="27">
        <f>D16*1.15</f>
        <v/>
      </c>
      <c r="F16" s="27">
        <f>D16*0.9</f>
        <v/>
      </c>
    </row>
    <row r="17">
      <c r="A17" s="19" t="n">
        <v>11</v>
      </c>
      <c r="B17" s="23" t="inlineStr">
        <is>
          <t>Distrib. 2</t>
        </is>
      </c>
      <c r="C17" s="23" t="inlineStr">
        <is>
          <t>Revenda 2</t>
        </is>
      </c>
      <c r="D17" s="26" t="n">
        <v>160</v>
      </c>
      <c r="E17" s="27">
        <f>D17*1.15</f>
        <v/>
      </c>
      <c r="F17" s="27">
        <f>D17*0.9</f>
        <v/>
      </c>
    </row>
    <row r="18">
      <c r="A18" s="19" t="n">
        <v>12</v>
      </c>
      <c r="B18" s="23" t="inlineStr">
        <is>
          <t>Revenda 3</t>
        </is>
      </c>
      <c r="C18" s="23" t="inlineStr">
        <is>
          <t>Revenda 2</t>
        </is>
      </c>
      <c r="D18" s="26" t="n">
        <v>150</v>
      </c>
      <c r="E18" s="27">
        <f>D18*1.15</f>
        <v/>
      </c>
      <c r="F18" s="27">
        <f>D18*0.9</f>
        <v/>
      </c>
    </row>
    <row r="20">
      <c r="A20" s="4" t="inlineStr">
        <is>
          <t>Oferta (Portos)</t>
        </is>
      </c>
    </row>
    <row r="21">
      <c r="A21" s="5" t="inlineStr">
        <is>
          <t>Porto</t>
        </is>
      </c>
      <c r="B21" s="5" t="inlineStr">
        <is>
          <t>Minivan</t>
        </is>
      </c>
      <c r="C21" s="5" t="inlineStr">
        <is>
          <t>Esportivo</t>
        </is>
      </c>
    </row>
    <row r="22">
      <c r="A22" s="23" t="inlineStr">
        <is>
          <t>Porto 1</t>
        </is>
      </c>
      <c r="B22" s="20" t="n">
        <v>325</v>
      </c>
      <c r="C22" s="20" t="n">
        <v>450</v>
      </c>
    </row>
    <row r="23">
      <c r="A23" s="23" t="inlineStr">
        <is>
          <t>Porto 2</t>
        </is>
      </c>
      <c r="B23" s="20" t="n">
        <v>430</v>
      </c>
      <c r="C23" s="20" t="n">
        <v>300</v>
      </c>
    </row>
    <row r="25">
      <c r="A25" s="4" t="inlineStr">
        <is>
          <t>Demanda (Revendas)</t>
        </is>
      </c>
    </row>
    <row r="26">
      <c r="A26" s="5" t="inlineStr">
        <is>
          <t>Revenda</t>
        </is>
      </c>
      <c r="B26" s="5" t="inlineStr">
        <is>
          <t>Minivan</t>
        </is>
      </c>
      <c r="C26" s="5" t="inlineStr">
        <is>
          <t>Esportivo</t>
        </is>
      </c>
    </row>
    <row r="27">
      <c r="A27" s="23" t="inlineStr">
        <is>
          <t>Revenda 3</t>
        </is>
      </c>
      <c r="B27" s="20" t="n">
        <v>477</v>
      </c>
      <c r="C27" s="20" t="n">
        <v>227</v>
      </c>
    </row>
    <row r="28">
      <c r="A28" s="23" t="inlineStr">
        <is>
          <t>Revenda 2</t>
        </is>
      </c>
      <c r="B28" s="20" t="n">
        <v>278</v>
      </c>
      <c r="C28" s="20" t="n">
        <v>523</v>
      </c>
    </row>
    <row r="31">
      <c r="A31" s="2" t="inlineStr">
        <is>
          <t>2. VARIÁVEIS DE DECISÃO (Fluxo por Arco e Tipo)</t>
        </is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</row>
    <row r="33">
      <c r="A33" s="4" t="inlineStr">
        <is>
          <t>Fluxo de Veículos por Arco</t>
        </is>
      </c>
    </row>
    <row r="34">
      <c r="A34" s="5" t="inlineStr">
        <is>
          <t>#</t>
        </is>
      </c>
      <c r="B34" s="5" t="inlineStr">
        <is>
          <t>De</t>
        </is>
      </c>
      <c r="C34" s="5" t="inlineStr">
        <is>
          <t>Para</t>
        </is>
      </c>
      <c r="D34" s="5" t="inlineStr">
        <is>
          <t>Fluxo Minivan</t>
        </is>
      </c>
      <c r="E34" s="5" t="inlineStr">
        <is>
          <t>Fluxo Esportivo</t>
        </is>
      </c>
      <c r="F34" s="5" t="inlineStr">
        <is>
          <t>Fluxo Total</t>
        </is>
      </c>
      <c r="G34" s="5" t="inlineStr">
        <is>
          <t>Custo Minivan</t>
        </is>
      </c>
      <c r="H34" s="5" t="inlineStr">
        <is>
          <t>Custo Esportivo</t>
        </is>
      </c>
      <c r="I34" s="5" t="inlineStr">
        <is>
          <t>Custo Total Arco</t>
        </is>
      </c>
    </row>
    <row r="35">
      <c r="A35" s="19" t="n">
        <v>1</v>
      </c>
      <c r="B35" s="17" t="inlineStr">
        <is>
          <t>Porto 1</t>
        </is>
      </c>
      <c r="C35" s="17" t="inlineStr">
        <is>
          <t>Distrib. 1</t>
        </is>
      </c>
      <c r="D35" s="12" t="n">
        <v>325</v>
      </c>
      <c r="E35" s="12" t="n">
        <v>450</v>
      </c>
      <c r="F35" s="13">
        <f>D35+E35</f>
        <v/>
      </c>
      <c r="G35" s="14">
        <f>D35*D7*1.15</f>
        <v/>
      </c>
      <c r="H35" s="14">
        <f>E35*D7*0.9</f>
        <v/>
      </c>
      <c r="I35" s="14">
        <f>G35+H35</f>
        <v/>
      </c>
    </row>
    <row r="36">
      <c r="A36" s="19" t="n">
        <v>2</v>
      </c>
      <c r="B36" s="17" t="inlineStr">
        <is>
          <t>Porto 1</t>
        </is>
      </c>
      <c r="C36" s="17" t="inlineStr">
        <is>
          <t>Revenda 3</t>
        </is>
      </c>
      <c r="D36" s="12" t="n">
        <v>0</v>
      </c>
      <c r="E36" s="12" t="n">
        <v>0</v>
      </c>
      <c r="F36" s="13">
        <f>D36+E36</f>
        <v/>
      </c>
      <c r="G36" s="14">
        <f>D36*D8*1.15</f>
        <v/>
      </c>
      <c r="H36" s="14">
        <f>E36*D8*0.9</f>
        <v/>
      </c>
      <c r="I36" s="14">
        <f>G36+H36</f>
        <v/>
      </c>
    </row>
    <row r="37">
      <c r="A37" s="19" t="n">
        <v>3</v>
      </c>
      <c r="B37" s="17" t="inlineStr">
        <is>
          <t>Porto 1</t>
        </is>
      </c>
      <c r="C37" s="17" t="inlineStr">
        <is>
          <t>Distrib. 2</t>
        </is>
      </c>
      <c r="D37" s="12" t="n">
        <v>0</v>
      </c>
      <c r="E37" s="12" t="n">
        <v>0</v>
      </c>
      <c r="F37" s="13">
        <f>D37+E37</f>
        <v/>
      </c>
      <c r="G37" s="14">
        <f>D37*D9*1.15</f>
        <v/>
      </c>
      <c r="H37" s="14">
        <f>E37*D9*0.9</f>
        <v/>
      </c>
      <c r="I37" s="14">
        <f>G37+H37</f>
        <v/>
      </c>
    </row>
    <row r="38">
      <c r="A38" s="19" t="n">
        <v>4</v>
      </c>
      <c r="B38" s="17" t="inlineStr">
        <is>
          <t>Porto 2</t>
        </is>
      </c>
      <c r="C38" s="17" t="inlineStr">
        <is>
          <t>Distrib. 1</t>
        </is>
      </c>
      <c r="D38" s="12" t="n">
        <v>0</v>
      </c>
      <c r="E38" s="12" t="n">
        <v>0</v>
      </c>
      <c r="F38" s="13">
        <f>D38+E38</f>
        <v/>
      </c>
      <c r="G38" s="14">
        <f>D38*D10*1.15</f>
        <v/>
      </c>
      <c r="H38" s="14">
        <f>E38*D10*0.9</f>
        <v/>
      </c>
      <c r="I38" s="14">
        <f>G38+H38</f>
        <v/>
      </c>
    </row>
    <row r="39">
      <c r="A39" s="19" t="n">
        <v>5</v>
      </c>
      <c r="B39" s="17" t="inlineStr">
        <is>
          <t>Porto 2</t>
        </is>
      </c>
      <c r="C39" s="17" t="inlineStr">
        <is>
          <t>Revenda 2</t>
        </is>
      </c>
      <c r="D39" s="12" t="n">
        <v>0</v>
      </c>
      <c r="E39" s="12" t="n">
        <v>0</v>
      </c>
      <c r="F39" s="13">
        <f>D39+E39</f>
        <v/>
      </c>
      <c r="G39" s="14">
        <f>D39*D11*1.15</f>
        <v/>
      </c>
      <c r="H39" s="14">
        <f>E39*D11*0.9</f>
        <v/>
      </c>
      <c r="I39" s="14">
        <f>G39+H39</f>
        <v/>
      </c>
    </row>
    <row r="40">
      <c r="A40" s="19" t="n">
        <v>6</v>
      </c>
      <c r="B40" s="17" t="inlineStr">
        <is>
          <t>Porto 2</t>
        </is>
      </c>
      <c r="C40" s="17" t="inlineStr">
        <is>
          <t>Distrib. 2</t>
        </is>
      </c>
      <c r="D40" s="12" t="n">
        <v>430</v>
      </c>
      <c r="E40" s="12" t="n">
        <v>300</v>
      </c>
      <c r="F40" s="13">
        <f>D40+E40</f>
        <v/>
      </c>
      <c r="G40" s="14">
        <f>D40*D12*1.15</f>
        <v/>
      </c>
      <c r="H40" s="14">
        <f>E40*D12*0.9</f>
        <v/>
      </c>
      <c r="I40" s="14">
        <f>G40+H40</f>
        <v/>
      </c>
    </row>
    <row r="41">
      <c r="A41" s="19" t="n">
        <v>7</v>
      </c>
      <c r="B41" s="17" t="inlineStr">
        <is>
          <t>Distrib. 1</t>
        </is>
      </c>
      <c r="C41" s="17" t="inlineStr">
        <is>
          <t>Revenda 3</t>
        </is>
      </c>
      <c r="D41" s="12" t="n">
        <v>47</v>
      </c>
      <c r="E41" s="12" t="n">
        <v>0</v>
      </c>
      <c r="F41" s="13">
        <f>D41+E41</f>
        <v/>
      </c>
      <c r="G41" s="14">
        <f>D41*D13*1.15</f>
        <v/>
      </c>
      <c r="H41" s="14">
        <f>E41*D13*0.9</f>
        <v/>
      </c>
      <c r="I41" s="14">
        <f>G41+H41</f>
        <v/>
      </c>
    </row>
    <row r="42">
      <c r="A42" s="19" t="n">
        <v>8</v>
      </c>
      <c r="B42" s="17" t="inlineStr">
        <is>
          <t>Distrib. 1</t>
        </is>
      </c>
      <c r="C42" s="17" t="inlineStr">
        <is>
          <t>Revenda 2</t>
        </is>
      </c>
      <c r="D42" s="12" t="n">
        <v>278</v>
      </c>
      <c r="E42" s="12" t="n">
        <v>450</v>
      </c>
      <c r="F42" s="13">
        <f>D42+E42</f>
        <v/>
      </c>
      <c r="G42" s="14">
        <f>D42*D14*1.15</f>
        <v/>
      </c>
      <c r="H42" s="14">
        <f>E42*D14*0.9</f>
        <v/>
      </c>
      <c r="I42" s="14">
        <f>G42+H42</f>
        <v/>
      </c>
    </row>
    <row r="43">
      <c r="A43" s="19" t="n">
        <v>9</v>
      </c>
      <c r="B43" s="17" t="inlineStr">
        <is>
          <t>Distrib. 1</t>
        </is>
      </c>
      <c r="C43" s="17" t="inlineStr">
        <is>
          <t>Distrib. 2</t>
        </is>
      </c>
      <c r="D43" s="12" t="n">
        <v>0</v>
      </c>
      <c r="E43" s="12" t="n">
        <v>0</v>
      </c>
      <c r="F43" s="13">
        <f>D43+E43</f>
        <v/>
      </c>
      <c r="G43" s="14">
        <f>D43*D15*1.15</f>
        <v/>
      </c>
      <c r="H43" s="14">
        <f>E43*D15*0.9</f>
        <v/>
      </c>
      <c r="I43" s="14">
        <f>G43+H43</f>
        <v/>
      </c>
    </row>
    <row r="44">
      <c r="A44" s="19" t="n">
        <v>10</v>
      </c>
      <c r="B44" s="17" t="inlineStr">
        <is>
          <t>Distrib. 2</t>
        </is>
      </c>
      <c r="C44" s="17" t="inlineStr">
        <is>
          <t>Revenda 3</t>
        </is>
      </c>
      <c r="D44" s="12" t="n">
        <v>430</v>
      </c>
      <c r="E44" s="12" t="n">
        <v>227</v>
      </c>
      <c r="F44" s="13">
        <f>D44+E44</f>
        <v/>
      </c>
      <c r="G44" s="14">
        <f>D44*D16*1.15</f>
        <v/>
      </c>
      <c r="H44" s="14">
        <f>E44*D16*0.9</f>
        <v/>
      </c>
      <c r="I44" s="14">
        <f>G44+H44</f>
        <v/>
      </c>
    </row>
    <row r="45">
      <c r="A45" s="19" t="n">
        <v>11</v>
      </c>
      <c r="B45" s="17" t="inlineStr">
        <is>
          <t>Distrib. 2</t>
        </is>
      </c>
      <c r="C45" s="17" t="inlineStr">
        <is>
          <t>Revenda 2</t>
        </is>
      </c>
      <c r="D45" s="12" t="n">
        <v>0</v>
      </c>
      <c r="E45" s="12" t="n">
        <v>73</v>
      </c>
      <c r="F45" s="13">
        <f>D45+E45</f>
        <v/>
      </c>
      <c r="G45" s="14">
        <f>D45*D17*1.15</f>
        <v/>
      </c>
      <c r="H45" s="14">
        <f>E45*D17*0.9</f>
        <v/>
      </c>
      <c r="I45" s="14">
        <f>G45+H45</f>
        <v/>
      </c>
    </row>
    <row r="46">
      <c r="A46" s="19" t="n">
        <v>12</v>
      </c>
      <c r="B46" s="17" t="inlineStr">
        <is>
          <t>Revenda 3</t>
        </is>
      </c>
      <c r="C46" s="17" t="inlineStr">
        <is>
          <t>Revenda 2</t>
        </is>
      </c>
      <c r="D46" s="12" t="n">
        <v>0</v>
      </c>
      <c r="E46" s="12" t="n">
        <v>0</v>
      </c>
      <c r="F46" s="13">
        <f>D46+E46</f>
        <v/>
      </c>
      <c r="G46" s="14">
        <f>D46*D18*1.15</f>
        <v/>
      </c>
      <c r="H46" s="14">
        <f>E46*D18*0.9</f>
        <v/>
      </c>
      <c r="I46" s="14">
        <f>G46+H46</f>
        <v/>
      </c>
    </row>
    <row r="48">
      <c r="A48" s="2" t="inlineStr">
        <is>
          <t>3. FUNÇÃO OBJETIVO (Minimizar Custo Total de Transporte)</t>
        </is>
      </c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</row>
    <row r="50">
      <c r="A50" s="15" t="inlineStr">
        <is>
          <t>CUSTO TOTAL (FO):</t>
        </is>
      </c>
      <c r="B50" s="16">
        <f>SUM(I35:I46)</f>
        <v/>
      </c>
    </row>
    <row r="52">
      <c r="A52" s="2" t="inlineStr">
        <is>
          <t>4. RESTRIÇÕES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</row>
    <row r="54">
      <c r="A54" s="5" t="inlineStr">
        <is>
          <t>Restrição</t>
        </is>
      </c>
      <c r="B54" s="5" t="inlineStr">
        <is>
          <t>Tipo</t>
        </is>
      </c>
      <c r="C54" s="5" t="inlineStr">
        <is>
          <t>LHS</t>
        </is>
      </c>
      <c r="D54" s="5" t="inlineStr">
        <is>
          <t>Sinal</t>
        </is>
      </c>
      <c r="E54" s="5" t="inlineStr">
        <is>
          <t>RHS</t>
        </is>
      </c>
      <c r="F54" s="5" t="inlineStr">
        <is>
          <t>Atendida?</t>
        </is>
      </c>
    </row>
    <row r="55">
      <c r="A55" s="17" t="inlineStr">
        <is>
          <t>Conservação Distrib. 1 (Minivan)</t>
        </is>
      </c>
      <c r="B55" s="19" t="inlineStr">
        <is>
          <t>Fluxo</t>
        </is>
      </c>
      <c r="C55" s="18">
        <f>D35+D38-(D41+D42+D43)</f>
        <v/>
      </c>
      <c r="D55" s="19" t="inlineStr">
        <is>
          <t>=</t>
        </is>
      </c>
      <c r="E55" s="20" t="n">
        <v>0</v>
      </c>
      <c r="F55" s="19">
        <f>IF(C55=E55,"OK","VIOLA")</f>
        <v/>
      </c>
    </row>
    <row r="56">
      <c r="A56" s="17" t="inlineStr">
        <is>
          <t>Conservação Distrib. 1 (Esportivo)</t>
        </is>
      </c>
      <c r="B56" s="19" t="inlineStr">
        <is>
          <t>Fluxo</t>
        </is>
      </c>
      <c r="C56" s="18">
        <f>E35+E38-(E41+E42+E43)</f>
        <v/>
      </c>
      <c r="D56" s="19" t="inlineStr">
        <is>
          <t>=</t>
        </is>
      </c>
      <c r="E56" s="20" t="n">
        <v>0</v>
      </c>
      <c r="F56" s="19">
        <f>IF(C56=E56,"OK","VIOLA")</f>
        <v/>
      </c>
    </row>
    <row r="57">
      <c r="A57" s="17" t="inlineStr">
        <is>
          <t>Conservação Distrib. 2 (Minivan)</t>
        </is>
      </c>
      <c r="B57" s="19" t="inlineStr">
        <is>
          <t>Fluxo</t>
        </is>
      </c>
      <c r="C57" s="18">
        <f>D37+D40+D43-(D44+D45)</f>
        <v/>
      </c>
      <c r="D57" s="19" t="inlineStr">
        <is>
          <t>=</t>
        </is>
      </c>
      <c r="E57" s="20" t="n">
        <v>0</v>
      </c>
      <c r="F57" s="19">
        <f>IF(C57=E57,"OK","VIOLA")</f>
        <v/>
      </c>
    </row>
    <row r="58">
      <c r="A58" s="17" t="inlineStr">
        <is>
          <t>Conservação Distrib. 2 (Esportivo)</t>
        </is>
      </c>
      <c r="B58" s="19" t="inlineStr">
        <is>
          <t>Fluxo</t>
        </is>
      </c>
      <c r="C58" s="18">
        <f>E37+E40+E43-(E44+E45)</f>
        <v/>
      </c>
      <c r="D58" s="19" t="inlineStr">
        <is>
          <t>=</t>
        </is>
      </c>
      <c r="E58" s="20" t="n">
        <v>0</v>
      </c>
      <c r="F58" s="19">
        <f>IF(C58=E58,"OK","VIOLA")</f>
        <v/>
      </c>
    </row>
    <row r="59">
      <c r="A59" s="17" t="inlineStr">
        <is>
          <t>Oferta Porto 1 (Minivan)</t>
        </is>
      </c>
      <c r="B59" s="19" t="inlineStr">
        <is>
          <t>Oferta</t>
        </is>
      </c>
      <c r="C59" s="18">
        <f>D35+D36+D37</f>
        <v/>
      </c>
      <c r="D59" s="19" t="inlineStr">
        <is>
          <t>&lt;=</t>
        </is>
      </c>
      <c r="E59" s="20" t="n">
        <v>325</v>
      </c>
      <c r="F59" s="19">
        <f>IF(C59&lt;=E59,"OK","VIOLA")</f>
        <v/>
      </c>
    </row>
    <row r="60">
      <c r="A60" s="17" t="inlineStr">
        <is>
          <t>Oferta Porto 1 (Esportivo)</t>
        </is>
      </c>
      <c r="B60" s="19" t="inlineStr">
        <is>
          <t>Oferta</t>
        </is>
      </c>
      <c r="C60" s="18">
        <f>E35+E36+E37</f>
        <v/>
      </c>
      <c r="D60" s="19" t="inlineStr">
        <is>
          <t>&lt;=</t>
        </is>
      </c>
      <c r="E60" s="20" t="n">
        <v>450</v>
      </c>
      <c r="F60" s="19">
        <f>IF(C60&lt;=E60,"OK","VIOLA")</f>
        <v/>
      </c>
    </row>
    <row r="61">
      <c r="A61" s="17" t="inlineStr">
        <is>
          <t>Oferta Porto 2 (Minivan)</t>
        </is>
      </c>
      <c r="B61" s="19" t="inlineStr">
        <is>
          <t>Oferta</t>
        </is>
      </c>
      <c r="C61" s="18">
        <f>D38+D39+D40</f>
        <v/>
      </c>
      <c r="D61" s="19" t="inlineStr">
        <is>
          <t>&lt;=</t>
        </is>
      </c>
      <c r="E61" s="20" t="n">
        <v>430</v>
      </c>
      <c r="F61" s="19">
        <f>IF(C61&lt;=E61,"OK","VIOLA")</f>
        <v/>
      </c>
    </row>
    <row r="62">
      <c r="A62" s="17" t="inlineStr">
        <is>
          <t>Oferta Porto 2 (Esportivo)</t>
        </is>
      </c>
      <c r="B62" s="19" t="inlineStr">
        <is>
          <t>Oferta</t>
        </is>
      </c>
      <c r="C62" s="18">
        <f>E38+E39+E40</f>
        <v/>
      </c>
      <c r="D62" s="19" t="inlineStr">
        <is>
          <t>&lt;=</t>
        </is>
      </c>
      <c r="E62" s="20" t="n">
        <v>300</v>
      </c>
      <c r="F62" s="19">
        <f>IF(C62&lt;=E62,"OK","VIOLA")</f>
        <v/>
      </c>
    </row>
    <row r="63">
      <c r="A63" s="17" t="inlineStr">
        <is>
          <t>Demanda Revenda 3 (Minivan)</t>
        </is>
      </c>
      <c r="B63" s="19" t="inlineStr">
        <is>
          <t>Demanda</t>
        </is>
      </c>
      <c r="C63" s="18">
        <f>D36+D41+D44-(D46)</f>
        <v/>
      </c>
      <c r="D63" s="19" t="inlineStr">
        <is>
          <t>&gt;=</t>
        </is>
      </c>
      <c r="E63" s="20" t="n">
        <v>477</v>
      </c>
      <c r="F63" s="19">
        <f>IF(C63&gt;=E63,"OK","VIOLA")</f>
        <v/>
      </c>
    </row>
    <row r="64">
      <c r="A64" s="17" t="inlineStr">
        <is>
          <t>Demanda Revenda 3 (Esportivo)</t>
        </is>
      </c>
      <c r="B64" s="19" t="inlineStr">
        <is>
          <t>Demanda</t>
        </is>
      </c>
      <c r="C64" s="18">
        <f>E36+E41+E44-(E46)</f>
        <v/>
      </c>
      <c r="D64" s="19" t="inlineStr">
        <is>
          <t>&gt;=</t>
        </is>
      </c>
      <c r="E64" s="20" t="n">
        <v>227</v>
      </c>
      <c r="F64" s="19">
        <f>IF(C64&gt;=E64,"OK","VIOLA")</f>
        <v/>
      </c>
    </row>
    <row r="65">
      <c r="A65" s="17" t="inlineStr">
        <is>
          <t>Demanda Revenda 2 (Minivan)</t>
        </is>
      </c>
      <c r="B65" s="19" t="inlineStr">
        <is>
          <t>Demanda</t>
        </is>
      </c>
      <c r="C65" s="18">
        <f>D39+D42+D45+D46-(0)</f>
        <v/>
      </c>
      <c r="D65" s="19" t="inlineStr">
        <is>
          <t>&gt;=</t>
        </is>
      </c>
      <c r="E65" s="20" t="n">
        <v>278</v>
      </c>
      <c r="F65" s="19">
        <f>IF(C65&gt;=E65,"OK","VIOLA")</f>
        <v/>
      </c>
    </row>
    <row r="66">
      <c r="A66" s="17" t="inlineStr">
        <is>
          <t>Demanda Revenda 2 (Esportivo)</t>
        </is>
      </c>
      <c r="B66" s="19" t="inlineStr">
        <is>
          <t>Demanda</t>
        </is>
      </c>
      <c r="C66" s="18">
        <f>E39+E42+E45+E46-(0)</f>
        <v/>
      </c>
      <c r="D66" s="19" t="inlineStr">
        <is>
          <t>&gt;=</t>
        </is>
      </c>
      <c r="E66" s="20" t="n">
        <v>523</v>
      </c>
      <c r="F66" s="19">
        <f>IF(C66&gt;=E66,"OK","VIOLA")</f>
        <v/>
      </c>
    </row>
    <row r="68">
      <c r="A68" s="2" t="inlineStr">
        <is>
          <t>5. CONFIGURAÇÃO DO SOLVER</t>
        </is>
      </c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</row>
    <row r="70">
      <c r="A70" s="4" t="inlineStr">
        <is>
          <t>Célula Objetivo:</t>
        </is>
      </c>
      <c r="B70" s="24" t="inlineStr">
        <is>
          <t>B50 (Minimizar)</t>
        </is>
      </c>
    </row>
    <row r="71">
      <c r="A71" s="4" t="inlineStr">
        <is>
          <t>Variáveis de Decisão:</t>
        </is>
      </c>
      <c r="B71" s="24" t="inlineStr">
        <is>
          <t>D35:E46 (fluxos contínuos ≥ 0)</t>
        </is>
      </c>
    </row>
    <row r="72">
      <c r="A72" s="4" t="inlineStr">
        <is>
          <t>Método:</t>
        </is>
      </c>
      <c r="B72" s="24" t="inlineStr">
        <is>
          <t>Simplex LP</t>
        </is>
      </c>
    </row>
    <row r="73">
      <c r="A73" s="4" t="inlineStr">
        <is>
          <t>Restrições:</t>
        </is>
      </c>
      <c r="B73" s="24" t="inlineStr">
        <is>
          <t>Ver seção 4 acima — conservação de fluxo, oferta e demanda</t>
        </is>
      </c>
    </row>
    <row r="76">
      <c r="A76" s="2" t="inlineStr">
        <is>
          <t>6. RESPOSTAS POR EXTENSO (Itens c e d)</t>
        </is>
      </c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</row>
    <row r="78">
      <c r="A78" s="25" t="inlineStr">
        <is>
          <t xml:space="preserve">ITEM c) Fluxo ótimo por tipo de veículo:
--- Minivan ---
  Porto 1 → Distrib. 1: 325 veículos (custo unitário: $115.00)
  Porto 2 → Distrib. 2: 430 veículos (custo unitário: $138.00)
  Distrib. 1 → Revenda 3: 47 veículos (custo unitário: $184.00)
  Distrib. 1 → Revenda 2: 278 veículos (custo unitário: $195.50)
  Distrib. 2 → Revenda 3: 430 veículos (custo unitário: $161.00)
--- Esportivo ---
  Porto 1 → Distrib. 1: 450 veículos (custo unitário: $90.00)
  Porto 2 → Distrib. 2: 300 veículos (custo unitário: $108.00)
  Distrib. 1 → Revenda 2: 450 veículos (custo unitário: $153.00)
  Distrib. 2 → Revenda 3: 227 veículos (custo unitário: $126.00)
  Distrib. 2 → Revenda 2: 73 veículos (custo unitário: $144.00)
</t>
        </is>
      </c>
    </row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5">
      <c r="A95" s="28" t="inlineStr">
        <is>
          <t>ITEM d) O valor do custo mínimo total dessa operação é: $409,806.00</t>
        </is>
      </c>
    </row>
    <row r="96"/>
    <row r="98">
      <c r="A98" s="2" t="inlineStr">
        <is>
          <t>7. ANÁLISE DE SENSIBILIDADE — Item e)</t>
        </is>
      </c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</row>
    <row r="100">
      <c r="A100" s="4" t="inlineStr">
        <is>
          <t>Variação do custo total conforme capacidade máxima por arco (500 a 1500, intervalos de 100)</t>
        </is>
      </c>
    </row>
    <row r="101">
      <c r="A101" s="5" t="inlineStr">
        <is>
          <t>Capacidade Máx/Arco</t>
        </is>
      </c>
      <c r="B101" s="5" t="inlineStr">
        <is>
          <t>Custo Total</t>
        </is>
      </c>
      <c r="C101" s="5" t="inlineStr">
        <is>
          <t>Status</t>
        </is>
      </c>
    </row>
    <row r="102">
      <c r="A102" s="8" t="n">
        <v>500</v>
      </c>
      <c r="B102" s="29" t="n">
        <v>420309</v>
      </c>
      <c r="C102" s="19" t="inlineStr">
        <is>
          <t>Viável</t>
        </is>
      </c>
    </row>
    <row r="103">
      <c r="A103" s="8" t="n">
        <v>600</v>
      </c>
      <c r="B103" s="29" t="n">
        <v>415809</v>
      </c>
      <c r="C103" s="19" t="inlineStr">
        <is>
          <t>Viável</t>
        </is>
      </c>
    </row>
    <row r="104">
      <c r="A104" s="8" t="n">
        <v>700</v>
      </c>
      <c r="B104" s="29" t="n">
        <v>411416.5</v>
      </c>
      <c r="C104" s="19" t="inlineStr">
        <is>
          <t>Viável</t>
        </is>
      </c>
    </row>
    <row r="105">
      <c r="A105" s="8" t="n">
        <v>800</v>
      </c>
      <c r="B105" s="29" t="n">
        <v>409806</v>
      </c>
      <c r="C105" s="19" t="inlineStr">
        <is>
          <t>Viável</t>
        </is>
      </c>
    </row>
    <row r="106">
      <c r="A106" s="8" t="n">
        <v>900</v>
      </c>
      <c r="B106" s="29" t="n">
        <v>409806</v>
      </c>
      <c r="C106" s="19" t="inlineStr">
        <is>
          <t>Viável</t>
        </is>
      </c>
    </row>
    <row r="107">
      <c r="A107" s="8" t="n">
        <v>1000</v>
      </c>
      <c r="B107" s="29" t="n">
        <v>409806</v>
      </c>
      <c r="C107" s="19" t="inlineStr">
        <is>
          <t>Viável</t>
        </is>
      </c>
    </row>
    <row r="108">
      <c r="A108" s="8" t="n">
        <v>1100</v>
      </c>
      <c r="B108" s="29" t="n">
        <v>409806</v>
      </c>
      <c r="C108" s="19" t="inlineStr">
        <is>
          <t>Viável</t>
        </is>
      </c>
    </row>
    <row r="109">
      <c r="A109" s="8" t="n">
        <v>1200</v>
      </c>
      <c r="B109" s="29" t="n">
        <v>409806</v>
      </c>
      <c r="C109" s="19" t="inlineStr">
        <is>
          <t>Viável</t>
        </is>
      </c>
    </row>
    <row r="110">
      <c r="A110" s="8" t="n">
        <v>1300</v>
      </c>
      <c r="B110" s="29" t="n">
        <v>409806</v>
      </c>
      <c r="C110" s="19" t="inlineStr">
        <is>
          <t>Viável</t>
        </is>
      </c>
    </row>
    <row r="111">
      <c r="A111" s="8" t="n">
        <v>1400</v>
      </c>
      <c r="B111" s="29" t="n">
        <v>409806</v>
      </c>
      <c r="C111" s="19" t="inlineStr">
        <is>
          <t>Viável</t>
        </is>
      </c>
    </row>
    <row r="112">
      <c r="A112" s="8" t="n">
        <v>1500</v>
      </c>
      <c r="B112" s="29" t="n">
        <v>409806</v>
      </c>
      <c r="C112" s="19" t="inlineStr">
        <is>
          <t>Viável</t>
        </is>
      </c>
    </row>
    <row r="114">
      <c r="A114" s="25" t="inlineStr">
        <is>
          <t>ITEM e) Análise de Sensibilidade:
Capacidade Máx/Arco → Custo Total:
    500 veículos → $  420,309.00
    600 veículos → $  415,809.00
    700 veículos → $  411,416.50
    800 veículos → $  409,806.00
    900 veículos → $  409,806.00
   1000 veículos → $  409,806.00
   1100 veículos → $  409,806.00
   1200 veículos → $  409,806.00
   1300 veículos → $  409,806.00
   1400 veículos → $  409,806.00
   1500 veículos → $  409,806.00
O custo mínimo de $409,806.00 é atingido a partir da capacidade de 800 veículos/arco.
Abaixo desse valor, as restrições de capacidade forçam rotas mais caras ou tornam o problema inviável.</t>
        </is>
      </c>
    </row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mergeCells count="12">
    <mergeCell ref="A114:K128"/>
    <mergeCell ref="A48:K48"/>
    <mergeCell ref="A3:K3"/>
    <mergeCell ref="A100:F100"/>
    <mergeCell ref="A95:K96"/>
    <mergeCell ref="A52:K52"/>
    <mergeCell ref="A78:K93"/>
    <mergeCell ref="A98:K98"/>
    <mergeCell ref="A76:K76"/>
    <mergeCell ref="A68:K68"/>
    <mergeCell ref="A1:K1"/>
    <mergeCell ref="A31:K3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2026-03-15T21:59:24Z</dcterms:created>
  <dcterms:modified xsi:type="dcterms:W3CDTF">2026-03-15T21:59:24Z</dcterms:modified>
</cp:coreProperties>
</file>